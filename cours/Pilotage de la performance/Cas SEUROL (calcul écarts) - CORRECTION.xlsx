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lacombe\Documents\4- COURS\Contrôle de gestion\2019-20 M2 AUF ALT\"/>
    </mc:Choice>
  </mc:AlternateContent>
  <bookViews>
    <workbookView xWindow="0" yWindow="0" windowWidth="20490" windowHeight="7620"/>
  </bookViews>
  <sheets>
    <sheet name="Feuil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0" i="1" l="1"/>
  <c r="C82" i="1" s="1"/>
  <c r="B67" i="1"/>
  <c r="D127" i="1" s="1"/>
  <c r="D78" i="1"/>
  <c r="D157" i="1"/>
  <c r="B157" i="1"/>
  <c r="D155" i="1"/>
  <c r="B155" i="1"/>
  <c r="C120" i="1"/>
  <c r="C121" i="1"/>
  <c r="C119" i="1"/>
  <c r="C73" i="1"/>
  <c r="C74" i="1"/>
  <c r="C72" i="1"/>
  <c r="C62" i="1"/>
  <c r="C116" i="1" s="1"/>
  <c r="C61" i="1"/>
  <c r="C115" i="1" s="1"/>
  <c r="C60" i="1"/>
  <c r="C114" i="1" s="1"/>
  <c r="E82" i="1" l="1"/>
  <c r="F81" i="1"/>
  <c r="E83" i="1" s="1"/>
  <c r="B127" i="1"/>
  <c r="C127" i="1"/>
  <c r="E121" i="1"/>
  <c r="D133" i="1" s="1"/>
  <c r="E120" i="1"/>
  <c r="C133" i="1" s="1"/>
  <c r="E119" i="1"/>
  <c r="B133" i="1" s="1"/>
  <c r="E116" i="1"/>
  <c r="D126" i="1" s="1"/>
  <c r="E115" i="1"/>
  <c r="C126" i="1" s="1"/>
  <c r="E114" i="1"/>
  <c r="B126" i="1" s="1"/>
  <c r="C106" i="1"/>
  <c r="C94" i="1"/>
  <c r="B108" i="1"/>
  <c r="C107" i="1"/>
  <c r="C105" i="1"/>
  <c r="C104" i="1"/>
  <c r="C103" i="1"/>
  <c r="C102" i="1"/>
  <c r="C108" i="1" l="1"/>
  <c r="C95" i="1"/>
  <c r="C93" i="1"/>
  <c r="C92" i="1"/>
  <c r="C91" i="1"/>
  <c r="B96" i="1"/>
  <c r="C90" i="1"/>
  <c r="C75" i="1"/>
  <c r="B78" i="1" s="1"/>
  <c r="B79" i="1" s="1"/>
  <c r="B81" i="1" s="1"/>
  <c r="C83" i="1" s="1"/>
  <c r="D74" i="1"/>
  <c r="D73" i="1"/>
  <c r="D72" i="1"/>
  <c r="D61" i="1"/>
  <c r="D62" i="1"/>
  <c r="D60" i="1"/>
  <c r="C63" i="1"/>
  <c r="D54" i="1"/>
  <c r="C54" i="1"/>
  <c r="B54" i="1"/>
  <c r="E53" i="1"/>
  <c r="E52" i="1"/>
  <c r="E51" i="1"/>
  <c r="E47" i="1"/>
  <c r="E46" i="1"/>
  <c r="D48" i="1"/>
  <c r="E45" i="1"/>
  <c r="B48" i="1"/>
  <c r="D38" i="1"/>
  <c r="D37" i="1"/>
  <c r="C38" i="1"/>
  <c r="C37" i="1"/>
  <c r="B38" i="1"/>
  <c r="B37" i="1"/>
  <c r="D36" i="1"/>
  <c r="C36" i="1"/>
  <c r="B36" i="1"/>
  <c r="D31" i="1"/>
  <c r="C31" i="1"/>
  <c r="B31" i="1"/>
  <c r="D30" i="1"/>
  <c r="C30" i="1"/>
  <c r="B30" i="1"/>
  <c r="D29" i="1"/>
  <c r="C29" i="1"/>
  <c r="B29" i="1"/>
  <c r="D15" i="1"/>
  <c r="C15" i="1"/>
  <c r="B15" i="1"/>
  <c r="E14" i="1"/>
  <c r="F188" i="1" s="1"/>
  <c r="E13" i="1"/>
  <c r="E12" i="1"/>
  <c r="F184" i="1" s="1"/>
  <c r="C8" i="1"/>
  <c r="D8" i="1"/>
  <c r="B8" i="1"/>
  <c r="E6" i="1"/>
  <c r="E7" i="1"/>
  <c r="E5" i="1"/>
  <c r="C179" i="1" l="1"/>
  <c r="F186" i="1"/>
  <c r="G155" i="1"/>
  <c r="B156" i="1" s="1"/>
  <c r="C178" i="1"/>
  <c r="C180" i="1"/>
  <c r="G157" i="1"/>
  <c r="B158" i="1" s="1"/>
  <c r="C39" i="1"/>
  <c r="C96" i="1"/>
  <c r="D75" i="1"/>
  <c r="C84" i="1" s="1"/>
  <c r="C85" i="1" s="1"/>
  <c r="D63" i="1"/>
  <c r="E54" i="1"/>
  <c r="D135" i="1" s="1"/>
  <c r="C48" i="1"/>
  <c r="E48" i="1" s="1"/>
  <c r="E30" i="1"/>
  <c r="D39" i="1"/>
  <c r="E36" i="1"/>
  <c r="E31" i="1"/>
  <c r="E38" i="1"/>
  <c r="E37" i="1"/>
  <c r="B39" i="1"/>
  <c r="C32" i="1"/>
  <c r="B32" i="1"/>
  <c r="D32" i="1"/>
  <c r="E29" i="1"/>
  <c r="E15" i="1"/>
  <c r="E8" i="1"/>
  <c r="C128" i="1" l="1"/>
  <c r="C129" i="1" s="1"/>
  <c r="B128" i="1"/>
  <c r="D128" i="1"/>
  <c r="D129" i="1" s="1"/>
  <c r="B135" i="1"/>
  <c r="C135" i="1"/>
  <c r="C181" i="1"/>
  <c r="C134" i="1"/>
  <c r="C136" i="1" s="1"/>
  <c r="D186" i="1" s="1"/>
  <c r="D134" i="1"/>
  <c r="B134" i="1"/>
  <c r="B159" i="1"/>
  <c r="B194" i="1" s="1"/>
  <c r="C171" i="1"/>
  <c r="C165" i="1"/>
  <c r="B178" i="1" s="1"/>
  <c r="A171" i="1"/>
  <c r="B129" i="1"/>
  <c r="C167" i="1"/>
  <c r="B180" i="1" s="1"/>
  <c r="C166" i="1"/>
  <c r="B179" i="1" s="1"/>
  <c r="E39" i="1"/>
  <c r="E32" i="1"/>
  <c r="B166" i="1" l="1"/>
  <c r="D179" i="1" s="1"/>
  <c r="E179" i="1" s="1"/>
  <c r="B186" i="1"/>
  <c r="B187" i="1" s="1"/>
  <c r="D136" i="1"/>
  <c r="D188" i="1" s="1"/>
  <c r="B136" i="1"/>
  <c r="D184" i="1" s="1"/>
  <c r="B167" i="1"/>
  <c r="D180" i="1" s="1"/>
  <c r="E180" i="1" s="1"/>
  <c r="B188" i="1"/>
  <c r="D166" i="1"/>
  <c r="B165" i="1"/>
  <c r="D165" i="1" s="1"/>
  <c r="B184" i="1"/>
  <c r="B181" i="1"/>
  <c r="C168" i="1"/>
  <c r="B189" i="1" l="1"/>
  <c r="B185" i="1"/>
  <c r="D167" i="1"/>
  <c r="D168" i="1" s="1"/>
  <c r="E171" i="1" s="1"/>
  <c r="B172" i="1" s="1"/>
  <c r="B195" i="1" s="1"/>
  <c r="D178" i="1"/>
  <c r="B168" i="1"/>
  <c r="B191" i="1" l="1"/>
  <c r="B197" i="1" s="1"/>
  <c r="E178" i="1"/>
  <c r="E181" i="1" s="1"/>
  <c r="B196" i="1" s="1"/>
  <c r="D181" i="1"/>
  <c r="B198" i="1" l="1"/>
</calcChain>
</file>

<file path=xl/sharedStrings.xml><?xml version="1.0" encoding="utf-8"?>
<sst xmlns="http://schemas.openxmlformats.org/spreadsheetml/2006/main" count="252" uniqueCount="123">
  <si>
    <t>Janvier</t>
  </si>
  <si>
    <t>Février</t>
  </si>
  <si>
    <t>Mars</t>
  </si>
  <si>
    <t>Total T1</t>
  </si>
  <si>
    <t>Téléphones mobiles</t>
  </si>
  <si>
    <t>Tablettes</t>
  </si>
  <si>
    <t>Enceintes blue tooth</t>
  </si>
  <si>
    <t>Total</t>
  </si>
  <si>
    <t>Ventes en volume = nb unités (budget)</t>
  </si>
  <si>
    <t>Ventes en volume = nb unités (réalisé)</t>
  </si>
  <si>
    <t>Prix unitaires</t>
  </si>
  <si>
    <t>Prévus</t>
  </si>
  <si>
    <t>Réalisé</t>
  </si>
  <si>
    <t>Chiffre d'affaires (budget)</t>
  </si>
  <si>
    <t>Chiffre d'affaires (réalisé)</t>
  </si>
  <si>
    <t>1- Tableaux des ventes :</t>
  </si>
  <si>
    <t>2- Tableaux des prix de ventes :</t>
  </si>
  <si>
    <t>3- Tableaux du chiffre d'affaires :</t>
  </si>
  <si>
    <t xml:space="preserve">L'entreprise SEUROL vend du matériel Hi-Tech. Le directeur commercial est inquiet car le marché est très concurrentiel et les ventes sont inférieures aux objectifs. Si la vente de téléphones mobiles remplit ses promesses et se développe, un problème sur le nouveau modèle de tablette a conduit à un éfondrement des ventes. Heureusement, la vente d'enceintes blue-tooth se porte très bien et le réalisé est meilleur que ce qui avait été budgété.
Si globalement le nombre d'unités vendues est en croissance, les tablettes qui sont un produit très rentable voient leurs ventes s'effondrer et le changement de mix produit va certainement diminuer la rentabilité de la société SEUROL et conduit à revoir le plan de production.
</t>
  </si>
  <si>
    <t>Le niveau de stocks d'enceintes blue tooth était faible et il va falloir relancer la production suite à une rupture de stocks. Cette réallocation des capacités de production a conduit à diminuer la production de tablettes qui aurait nécessité des ajustements pour résoudre les problèmes de qualité.</t>
  </si>
  <si>
    <t>4- Programme de production :</t>
  </si>
  <si>
    <t>Budget de production en nb d'unités</t>
  </si>
  <si>
    <t>production en nb d'unités (réalisé)</t>
  </si>
  <si>
    <t>5- Atelier 1 de production : prévisions de temps de MOD par mois</t>
  </si>
  <si>
    <t>Qté standard de nb heures MOD / unité produit</t>
  </si>
  <si>
    <t>Nb unités produites</t>
  </si>
  <si>
    <t>Nb heures de MOD</t>
  </si>
  <si>
    <t>Coût horaire standard de l'heure de MOD travaillée</t>
  </si>
  <si>
    <t>Salaires mensuels du personnel de l'atelier / nb heures travaillées prévisionnelles</t>
  </si>
  <si>
    <t>6- Atelier 1 de production : temps de MOD réel par mois</t>
  </si>
  <si>
    <t>Qté réelle de nb heures MOD / unité produit</t>
  </si>
  <si>
    <t>Charges indirectes de production</t>
  </si>
  <si>
    <t>7- Charges indirectes de production : budget par mois et par trimestre</t>
  </si>
  <si>
    <t>Prévisions mensuelles</t>
  </si>
  <si>
    <t>Prévisions total 1er trimestre</t>
  </si>
  <si>
    <t>Salaire dirigeants usine</t>
  </si>
  <si>
    <t>Amortissement machines</t>
  </si>
  <si>
    <t>Recherche et développement</t>
  </si>
  <si>
    <t>Loyer batiments</t>
  </si>
  <si>
    <t>Assurances</t>
  </si>
  <si>
    <t>8- Charges indirectes de production : dépenses réelles par mois et par trimestre</t>
  </si>
  <si>
    <t>Dépenses réelles mensuelles</t>
  </si>
  <si>
    <t>Dépenses réelles total 1er trimestre</t>
  </si>
  <si>
    <t>Entretien</t>
  </si>
  <si>
    <t>Le contrôleur de gestion analyse les dépenses de production et indique que :
- les charges suivantes sont fixes : salaire, amortissements, la R&amp;D, le loyer, les assurances.
- les frais d'entretien varient en fonction du nb d'heures machine. La fabrication d'une unité de produit utilise 0,25 h machine (2 500 heures machines sont utilisées chaque mois)</t>
  </si>
  <si>
    <t>9- Quantités de matières premières par produit</t>
  </si>
  <si>
    <t>Prévisions</t>
  </si>
  <si>
    <t>Grammes/ unité</t>
  </si>
  <si>
    <t>Coût du gramme</t>
  </si>
  <si>
    <t>Coût de MP/ unité</t>
  </si>
  <si>
    <t>Réalisations</t>
  </si>
  <si>
    <t>ANALYSE D'ECARTS DE MARGE SUR COUT DE PRODUCTION DES PRODUITS VENDUS</t>
  </si>
  <si>
    <t>Il résulte de la combinaison de 4 phénomènes :</t>
  </si>
  <si>
    <t>- Les prix de vente prévus n'ont pas toujours été appliqués</t>
  </si>
  <si>
    <t>- L'activité globale a été inférieure aux prévisions</t>
  </si>
  <si>
    <t>- La répartition des ventes (mix) a été différente de celle prévue</t>
  </si>
  <si>
    <t>- Les coûts de production n'ont pas été respectés</t>
  </si>
  <si>
    <t>a) Ecart sur prix de vente par produit et global</t>
  </si>
  <si>
    <t>Les prix de vente n'ont pas été respectés pour les téléphones et les enceintes.</t>
  </si>
  <si>
    <t>b) Calcul de l'écart sur activité</t>
  </si>
  <si>
    <t>Calcul de la marge standard unitaire moyenne</t>
  </si>
  <si>
    <t>Produit</t>
  </si>
  <si>
    <t>Marge standard unitaire sur le coût de production</t>
  </si>
  <si>
    <t>Quantités réellement vendues</t>
  </si>
  <si>
    <t>Part prévisionnelle du produit dans les ventes en volume</t>
  </si>
  <si>
    <t>10- Calcul du coût du production standard unitaire</t>
  </si>
  <si>
    <t>Matières premières</t>
  </si>
  <si>
    <t>MOD</t>
  </si>
  <si>
    <t>Décomposition de la marge standard unitaire moyenne</t>
  </si>
  <si>
    <t>-</t>
  </si>
  <si>
    <t>Ecart sur activité = (qtés réelles totales - qtés prévues totales) * marge standard unitaire moyenne</t>
  </si>
  <si>
    <t>*</t>
  </si>
  <si>
    <t>=</t>
  </si>
  <si>
    <t>L'écart est défavorable.</t>
  </si>
  <si>
    <t>c) Calcul de l'écart sur mix produit</t>
  </si>
  <si>
    <t>Mix standard appliqué au total des ventes réelles en volume</t>
  </si>
  <si>
    <t>Ecart sur mix produit</t>
  </si>
  <si>
    <t>Marge standard unitaire sur coût de production</t>
  </si>
  <si>
    <t>favorable</t>
  </si>
  <si>
    <t>défavorable</t>
  </si>
  <si>
    <t>Ecart sur prix des téléphones = (</t>
  </si>
  <si>
    <t>)</t>
  </si>
  <si>
    <t>Ecart défavorable</t>
  </si>
  <si>
    <t>Ecart favorable</t>
  </si>
  <si>
    <t>Au global, l'écart sur prix est défavorable de</t>
  </si>
  <si>
    <t>Ecart sur prix des enceintes = (</t>
  </si>
  <si>
    <t>Tablettes = (</t>
  </si>
  <si>
    <t>Enceintes blue tooth = (</t>
  </si>
  <si>
    <t>Téléphones mobiles = (</t>
  </si>
  <si>
    <t>Coût réel de l'heure de MOD = nb unités réelles produites X 0,2 heures par unité</t>
  </si>
  <si>
    <t>heures consommées</t>
  </si>
  <si>
    <t>H</t>
  </si>
  <si>
    <t xml:space="preserve">Il faut donc payer </t>
  </si>
  <si>
    <t>heures supplémentaires payées 50% de plus soit</t>
  </si>
  <si>
    <t>Le coût moyen de l'heure effectivement travaillée est donc de</t>
  </si>
  <si>
    <t>12*1200/1917</t>
  </si>
  <si>
    <t>L'atelier 1 compte 12 ouvriers qui travaillent 160 heures par mois soit</t>
  </si>
  <si>
    <t>+</t>
  </si>
  <si>
    <t>/</t>
  </si>
  <si>
    <t>) *</t>
  </si>
  <si>
    <t>écart favorable</t>
  </si>
  <si>
    <t>écart défavorable</t>
  </si>
  <si>
    <t>Ecart global sur coût de production vendue</t>
  </si>
  <si>
    <t>L'écart sur activité est de</t>
  </si>
  <si>
    <t>L'écart sur mix produit est de</t>
  </si>
  <si>
    <t>Nous pouvons maintenant constater la somme des écarts :</t>
  </si>
  <si>
    <t>Un écart global défavorable</t>
  </si>
  <si>
    <t>Questions :</t>
  </si>
  <si>
    <t>Analyser l'écart global de marge sur coût de production en le décomposant en :</t>
  </si>
  <si>
    <t>Ecart sur prix de vente des produits</t>
  </si>
  <si>
    <t>Ecart sur activité</t>
  </si>
  <si>
    <t>Ecart sur mix-produit</t>
  </si>
  <si>
    <t>Ecart sur coût de production</t>
  </si>
  <si>
    <t>L'écart sur coût de production vendue</t>
  </si>
  <si>
    <t>d) Ecart sur coût de production des produits vendus = (coûts de production unitaire p - coûts de production unitaire r) X quantités vendues r</t>
  </si>
  <si>
    <t>Au global cet écart sera défavorable car la société a vendu moins de produits que prévu</t>
  </si>
  <si>
    <t>Ecart sur prix = (</t>
  </si>
  <si>
    <t>Prix réalisé</t>
  </si>
  <si>
    <t>prix prévu</t>
  </si>
  <si>
    <t>quantités réellement vendues</t>
  </si>
  <si>
    <t>Ecart sur mix produit =</t>
  </si>
  <si>
    <t>(Q r - Q mix) * marge p</t>
  </si>
  <si>
    <t>Au global, l'écart sur prix est 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</si>
</sst>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4" formatCode="_-* #,##0.00\ &quot;€&quot;_-;\-* #,##0.00\ &quot;€&quot;_-;_-* &quot;-&quot;??\ &quot;€&quot;_-;_-@_-"/>
    <numFmt numFmtId="164" formatCode="_-* #,##0.00\ _€_-;\-* #,##0.00\ _€_-;_-* &quot;-&quot;??\ _€_-;_-@_-"/>
    <numFmt numFmtId="165" formatCode="_-* #,##0\ _€_-;\-* #,##0\ _€_-;_-* &quot;-&quot;??\ _€_-;_-@_-"/>
    <numFmt numFmtId="166" formatCode="_-* #,##0\ &quot;€&quot;_-;\-* #,##0\ &quot;€&quot;_-;_-* &quot;-&quot;??\ &quot;€&quot;_-;_-@_-"/>
    <numFmt numFmtId="167" formatCode="_-* #,##0.0\ _€_-;\-* #,##0.0\ _€_-;_-* &quot;-&quot;??\ _€_-;_-@_-"/>
    <numFmt numFmtId="168" formatCode="0.0%"/>
    <numFmt numFmtId="169" formatCode="#,##0.00\ &quot;€&quot;"/>
    <numFmt numFmtId="170" formatCode="#,##0\ &quot;€&quot;"/>
  </numFmts>
  <fonts count="5" x14ac:knownFonts="1">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u/>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164"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6">
    <xf numFmtId="0" fontId="0" fillId="0" borderId="0" xfId="0"/>
    <xf numFmtId="0" fontId="0" fillId="2" borderId="1" xfId="0" applyFill="1" applyBorder="1" applyAlignment="1">
      <alignment vertical="center"/>
    </xf>
    <xf numFmtId="0" fontId="0" fillId="2" borderId="1" xfId="0" applyFill="1" applyBorder="1" applyAlignment="1">
      <alignment horizontal="center" vertical="center"/>
    </xf>
    <xf numFmtId="0" fontId="2" fillId="2" borderId="1" xfId="0" applyFont="1" applyFill="1" applyBorder="1" applyAlignment="1">
      <alignment horizontal="center" vertical="center"/>
    </xf>
    <xf numFmtId="0" fontId="0" fillId="0" borderId="0" xfId="0" applyAlignment="1">
      <alignment vertical="center"/>
    </xf>
    <xf numFmtId="0" fontId="0" fillId="0" borderId="1" xfId="0" applyBorder="1" applyAlignment="1">
      <alignment vertical="center"/>
    </xf>
    <xf numFmtId="165" fontId="0" fillId="0" borderId="1" xfId="1" applyNumberFormat="1"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horizontal="right" vertical="center"/>
    </xf>
    <xf numFmtId="0" fontId="2" fillId="0" borderId="0" xfId="0" applyFont="1" applyAlignment="1">
      <alignment vertical="center"/>
    </xf>
    <xf numFmtId="0" fontId="3" fillId="0" borderId="0" xfId="0" applyFont="1" applyAlignment="1">
      <alignment vertical="center"/>
    </xf>
    <xf numFmtId="166" fontId="0" fillId="0" borderId="1" xfId="2" applyNumberFormat="1" applyFont="1" applyBorder="1" applyAlignment="1">
      <alignment vertical="center"/>
    </xf>
    <xf numFmtId="166" fontId="2" fillId="0" borderId="1" xfId="2" applyNumberFormat="1" applyFont="1" applyBorder="1" applyAlignment="1">
      <alignment vertical="center"/>
    </xf>
    <xf numFmtId="0" fontId="0" fillId="2" borderId="1" xfId="0" applyFill="1" applyBorder="1" applyAlignment="1">
      <alignment horizontal="center" vertical="center" wrapText="1"/>
    </xf>
    <xf numFmtId="12" fontId="0" fillId="0" borderId="1" xfId="1" applyNumberFormat="1" applyFont="1" applyBorder="1" applyAlignment="1">
      <alignment horizontal="center" vertical="center"/>
    </xf>
    <xf numFmtId="0" fontId="0" fillId="0" borderId="0" xfId="0" quotePrefix="1" applyAlignment="1">
      <alignment vertical="center"/>
    </xf>
    <xf numFmtId="44" fontId="0" fillId="0" borderId="0" xfId="2" applyFont="1" applyAlignment="1">
      <alignment vertical="center"/>
    </xf>
    <xf numFmtId="0" fontId="2" fillId="2" borderId="1" xfId="0" applyFont="1" applyFill="1" applyBorder="1" applyAlignment="1">
      <alignment horizontal="center" vertical="center" wrapText="1"/>
    </xf>
    <xf numFmtId="12" fontId="0" fillId="0" borderId="1" xfId="1" applyNumberFormat="1" applyFont="1" applyBorder="1" applyAlignment="1">
      <alignment vertical="center"/>
    </xf>
    <xf numFmtId="167" fontId="0" fillId="0" borderId="1" xfId="1" applyNumberFormat="1" applyFont="1" applyBorder="1" applyAlignment="1">
      <alignment vertical="center"/>
    </xf>
    <xf numFmtId="164" fontId="0" fillId="0" borderId="0" xfId="1" applyFont="1" applyAlignment="1">
      <alignment vertical="center"/>
    </xf>
    <xf numFmtId="164" fontId="0" fillId="0" borderId="1" xfId="1" applyNumberFormat="1" applyFont="1" applyBorder="1" applyAlignment="1">
      <alignment vertical="center"/>
    </xf>
    <xf numFmtId="0" fontId="0" fillId="0" borderId="0" xfId="0" applyBorder="1" applyAlignment="1">
      <alignment vertical="center"/>
    </xf>
    <xf numFmtId="12" fontId="0" fillId="0" borderId="0" xfId="1" applyNumberFormat="1" applyFont="1" applyBorder="1" applyAlignment="1">
      <alignment vertical="center"/>
    </xf>
    <xf numFmtId="165" fontId="0" fillId="0" borderId="0" xfId="1" applyNumberFormat="1" applyFont="1" applyBorder="1" applyAlignment="1">
      <alignment vertical="center"/>
    </xf>
    <xf numFmtId="168" fontId="0" fillId="0" borderId="1" xfId="3" applyNumberFormat="1" applyFont="1" applyBorder="1" applyAlignment="1">
      <alignment vertical="center"/>
    </xf>
    <xf numFmtId="9" fontId="2" fillId="0" borderId="1" xfId="3" applyFont="1" applyBorder="1" applyAlignment="1">
      <alignment vertical="center"/>
    </xf>
    <xf numFmtId="165" fontId="0" fillId="0" borderId="0" xfId="0" applyNumberFormat="1" applyAlignment="1">
      <alignment vertical="center"/>
    </xf>
    <xf numFmtId="0" fontId="0" fillId="0" borderId="0" xfId="0" applyAlignment="1">
      <alignment horizontal="right" vertical="center"/>
    </xf>
    <xf numFmtId="166" fontId="0" fillId="0" borderId="0" xfId="0" applyNumberFormat="1" applyAlignment="1">
      <alignment vertical="center"/>
    </xf>
    <xf numFmtId="0" fontId="0" fillId="0" borderId="0" xfId="0" applyAlignment="1">
      <alignment horizontal="center" vertical="center"/>
    </xf>
    <xf numFmtId="170" fontId="0" fillId="0" borderId="0" xfId="2" applyNumberFormat="1" applyFont="1" applyAlignment="1">
      <alignment vertical="center"/>
    </xf>
    <xf numFmtId="170" fontId="0" fillId="0" borderId="0" xfId="0" applyNumberFormat="1" applyAlignment="1">
      <alignment vertical="center"/>
    </xf>
    <xf numFmtId="164" fontId="0" fillId="0" borderId="0" xfId="1" applyFont="1" applyAlignment="1">
      <alignment horizontal="right" vertical="center"/>
    </xf>
    <xf numFmtId="44" fontId="0" fillId="0" borderId="1" xfId="1" applyNumberFormat="1" applyFont="1" applyBorder="1" applyAlignment="1">
      <alignment vertical="center"/>
    </xf>
    <xf numFmtId="169" fontId="0" fillId="0" borderId="1" xfId="1" applyNumberFormat="1" applyFont="1" applyBorder="1" applyAlignment="1">
      <alignment vertical="center"/>
    </xf>
    <xf numFmtId="169" fontId="2" fillId="0" borderId="1" xfId="1" applyNumberFormat="1" applyFont="1" applyBorder="1" applyAlignment="1">
      <alignment vertical="center"/>
    </xf>
    <xf numFmtId="0" fontId="0" fillId="0" borderId="0" xfId="0" quotePrefix="1" applyAlignment="1">
      <alignment horizontal="center" vertical="center"/>
    </xf>
    <xf numFmtId="169" fontId="1" fillId="0" borderId="0" xfId="1" applyNumberFormat="1" applyFont="1" applyBorder="1" applyAlignment="1">
      <alignment vertical="center"/>
    </xf>
    <xf numFmtId="169" fontId="0" fillId="0" borderId="1" xfId="2" applyNumberFormat="1" applyFont="1" applyBorder="1" applyAlignment="1">
      <alignment vertical="center"/>
    </xf>
    <xf numFmtId="169" fontId="2" fillId="0" borderId="1" xfId="2" applyNumberFormat="1" applyFont="1" applyBorder="1" applyAlignment="1">
      <alignment vertical="center"/>
    </xf>
    <xf numFmtId="12" fontId="0" fillId="0" borderId="0" xfId="0" applyNumberFormat="1" applyAlignment="1">
      <alignment horizontal="left" vertical="center"/>
    </xf>
    <xf numFmtId="0" fontId="0" fillId="0" borderId="0" xfId="0" applyAlignment="1">
      <alignment horizontal="left" vertical="center"/>
    </xf>
    <xf numFmtId="44" fontId="0" fillId="0" borderId="0" xfId="0" applyNumberFormat="1" applyAlignment="1">
      <alignment vertical="center"/>
    </xf>
    <xf numFmtId="44" fontId="0" fillId="0" borderId="0" xfId="0" applyNumberFormat="1" applyAlignment="1">
      <alignment horizontal="center" vertical="center"/>
    </xf>
    <xf numFmtId="0" fontId="0" fillId="0" borderId="0" xfId="0" quotePrefix="1" applyAlignment="1">
      <alignment horizontal="right" vertical="center"/>
    </xf>
    <xf numFmtId="44" fontId="0" fillId="0" borderId="1" xfId="0" applyNumberFormat="1" applyBorder="1" applyAlignment="1">
      <alignment vertical="center"/>
    </xf>
    <xf numFmtId="44" fontId="2" fillId="0" borderId="1" xfId="1" applyNumberFormat="1" applyFont="1" applyBorder="1" applyAlignment="1">
      <alignment vertical="center"/>
    </xf>
    <xf numFmtId="169" fontId="0" fillId="0" borderId="0" xfId="0" applyNumberFormat="1" applyAlignment="1">
      <alignment vertical="center"/>
    </xf>
    <xf numFmtId="0" fontId="4" fillId="0" borderId="0" xfId="0" applyFont="1" applyAlignment="1">
      <alignment vertical="center"/>
    </xf>
    <xf numFmtId="170" fontId="0" fillId="0" borderId="2" xfId="0" applyNumberFormat="1" applyBorder="1" applyAlignment="1">
      <alignment vertical="center"/>
    </xf>
    <xf numFmtId="170" fontId="1" fillId="0" borderId="0" xfId="1" applyNumberFormat="1" applyFont="1" applyBorder="1" applyAlignment="1">
      <alignment vertical="center"/>
    </xf>
    <xf numFmtId="170" fontId="0" fillId="0" borderId="1" xfId="2" applyNumberFormat="1" applyFont="1" applyBorder="1" applyAlignment="1">
      <alignment vertical="center"/>
    </xf>
    <xf numFmtId="170" fontId="2" fillId="0" borderId="1" xfId="2" applyNumberFormat="1" applyFont="1" applyBorder="1" applyAlignment="1">
      <alignment vertical="center"/>
    </xf>
    <xf numFmtId="0" fontId="0" fillId="0" borderId="0" xfId="0" applyAlignment="1">
      <alignment horizontal="left" vertical="center" wrapText="1"/>
    </xf>
    <xf numFmtId="0" fontId="0" fillId="0" borderId="0" xfId="0" applyAlignment="1">
      <alignment horizontal="left" vertical="top" wrapText="1"/>
    </xf>
  </cellXfs>
  <cellStyles count="4">
    <cellStyle name="Milliers" xfId="1" builtinId="3"/>
    <cellStyle name="Monétaire" xfId="2" builtinId="4"/>
    <cellStyle name="Normal" xfId="0" builtinId="0"/>
    <cellStyle name="Pourcentag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98"/>
  <sheetViews>
    <sheetView tabSelected="1" topLeftCell="A178" zoomScale="120" zoomScaleNormal="120" workbookViewId="0">
      <selection activeCell="D187" sqref="D187"/>
    </sheetView>
  </sheetViews>
  <sheetFormatPr baseColWidth="10" defaultColWidth="11.453125" defaultRowHeight="14.5" x14ac:dyDescent="0.35"/>
  <cols>
    <col min="1" max="1" width="41.26953125" style="4" customWidth="1"/>
    <col min="2" max="4" width="15.7265625" style="4" customWidth="1"/>
    <col min="5" max="5" width="18.453125" style="4" customWidth="1"/>
    <col min="6" max="6" width="13.1796875" style="4" customWidth="1"/>
    <col min="7" max="16384" width="11.453125" style="4"/>
  </cols>
  <sheetData>
    <row r="1" spans="1:5" ht="135.75" customHeight="1" x14ac:dyDescent="0.35">
      <c r="A1" s="54" t="s">
        <v>18</v>
      </c>
      <c r="B1" s="54"/>
      <c r="C1" s="54"/>
      <c r="D1" s="54"/>
      <c r="E1" s="54"/>
    </row>
    <row r="2" spans="1:5" x14ac:dyDescent="0.35">
      <c r="A2" s="10" t="s">
        <v>15</v>
      </c>
    </row>
    <row r="4" spans="1:5" ht="22.5" customHeight="1" x14ac:dyDescent="0.35">
      <c r="A4" s="1" t="s">
        <v>8</v>
      </c>
      <c r="B4" s="2" t="s">
        <v>0</v>
      </c>
      <c r="C4" s="2" t="s">
        <v>1</v>
      </c>
      <c r="D4" s="2" t="s">
        <v>2</v>
      </c>
      <c r="E4" s="3" t="s">
        <v>3</v>
      </c>
    </row>
    <row r="5" spans="1:5" ht="22.5" customHeight="1" x14ac:dyDescent="0.35">
      <c r="A5" s="5" t="s">
        <v>4</v>
      </c>
      <c r="B5" s="6">
        <v>1000</v>
      </c>
      <c r="C5" s="6">
        <v>2000</v>
      </c>
      <c r="D5" s="6">
        <v>2000</v>
      </c>
      <c r="E5" s="7">
        <f>SUM(B5:D5)</f>
        <v>5000</v>
      </c>
    </row>
    <row r="6" spans="1:5" ht="22.5" customHeight="1" x14ac:dyDescent="0.35">
      <c r="A6" s="5" t="s">
        <v>5</v>
      </c>
      <c r="B6" s="6">
        <v>4000</v>
      </c>
      <c r="C6" s="6">
        <v>2000</v>
      </c>
      <c r="D6" s="6">
        <v>500</v>
      </c>
      <c r="E6" s="7">
        <f t="shared" ref="E6:E8" si="0">SUM(B6:D6)</f>
        <v>6500</v>
      </c>
    </row>
    <row r="7" spans="1:5" ht="22.5" customHeight="1" x14ac:dyDescent="0.35">
      <c r="A7" s="5" t="s">
        <v>6</v>
      </c>
      <c r="B7" s="6">
        <v>5000</v>
      </c>
      <c r="C7" s="6">
        <v>5000</v>
      </c>
      <c r="D7" s="6">
        <v>5000</v>
      </c>
      <c r="E7" s="7">
        <f t="shared" si="0"/>
        <v>15000</v>
      </c>
    </row>
    <row r="8" spans="1:5" ht="22.5" customHeight="1" x14ac:dyDescent="0.35">
      <c r="A8" s="8" t="s">
        <v>7</v>
      </c>
      <c r="B8" s="7">
        <f>SUM(B5:B7)</f>
        <v>10000</v>
      </c>
      <c r="C8" s="7">
        <f t="shared" ref="C8:D8" si="1">SUM(C5:C7)</f>
        <v>9000</v>
      </c>
      <c r="D8" s="7">
        <f t="shared" si="1"/>
        <v>7500</v>
      </c>
      <c r="E8" s="7">
        <f t="shared" si="0"/>
        <v>26500</v>
      </c>
    </row>
    <row r="11" spans="1:5" ht="24" customHeight="1" x14ac:dyDescent="0.35">
      <c r="A11" s="1" t="s">
        <v>9</v>
      </c>
      <c r="B11" s="2" t="s">
        <v>0</v>
      </c>
      <c r="C11" s="2" t="s">
        <v>1</v>
      </c>
      <c r="D11" s="2" t="s">
        <v>2</v>
      </c>
      <c r="E11" s="3" t="s">
        <v>3</v>
      </c>
    </row>
    <row r="12" spans="1:5" ht="24" customHeight="1" x14ac:dyDescent="0.35">
      <c r="A12" s="5" t="s">
        <v>4</v>
      </c>
      <c r="B12" s="6">
        <v>1000</v>
      </c>
      <c r="C12" s="6">
        <v>2000</v>
      </c>
      <c r="D12" s="6">
        <v>2000</v>
      </c>
      <c r="E12" s="7">
        <f>SUM(B12:D12)</f>
        <v>5000</v>
      </c>
    </row>
    <row r="13" spans="1:5" ht="24" customHeight="1" x14ac:dyDescent="0.35">
      <c r="A13" s="5" t="s">
        <v>5</v>
      </c>
      <c r="B13" s="6">
        <v>2200</v>
      </c>
      <c r="C13" s="6">
        <v>800</v>
      </c>
      <c r="D13" s="6">
        <v>100</v>
      </c>
      <c r="E13" s="7">
        <f t="shared" ref="E13:E15" si="2">SUM(B13:D13)</f>
        <v>3100</v>
      </c>
    </row>
    <row r="14" spans="1:5" ht="24" customHeight="1" x14ac:dyDescent="0.35">
      <c r="A14" s="5" t="s">
        <v>6</v>
      </c>
      <c r="B14" s="6">
        <v>5500</v>
      </c>
      <c r="C14" s="6">
        <v>6000</v>
      </c>
      <c r="D14" s="6">
        <v>6500</v>
      </c>
      <c r="E14" s="7">
        <f t="shared" si="2"/>
        <v>18000</v>
      </c>
    </row>
    <row r="15" spans="1:5" ht="24" customHeight="1" x14ac:dyDescent="0.35">
      <c r="A15" s="8" t="s">
        <v>7</v>
      </c>
      <c r="B15" s="7">
        <f>SUM(B12:B14)</f>
        <v>8700</v>
      </c>
      <c r="C15" s="7">
        <f t="shared" ref="C15" si="3">SUM(C12:C14)</f>
        <v>8800</v>
      </c>
      <c r="D15" s="7">
        <f t="shared" ref="D15" si="4">SUM(D12:D14)</f>
        <v>8600</v>
      </c>
      <c r="E15" s="7">
        <f t="shared" si="2"/>
        <v>26100</v>
      </c>
    </row>
    <row r="18" spans="1:5" x14ac:dyDescent="0.35">
      <c r="A18" s="10" t="s">
        <v>16</v>
      </c>
    </row>
    <row r="20" spans="1:5" x14ac:dyDescent="0.35">
      <c r="A20" s="1" t="s">
        <v>10</v>
      </c>
      <c r="B20" s="2" t="s">
        <v>11</v>
      </c>
      <c r="C20" s="2" t="s">
        <v>12</v>
      </c>
    </row>
    <row r="21" spans="1:5" x14ac:dyDescent="0.35">
      <c r="A21" s="5" t="s">
        <v>4</v>
      </c>
      <c r="B21" s="11">
        <v>600</v>
      </c>
      <c r="C21" s="11">
        <v>550</v>
      </c>
    </row>
    <row r="22" spans="1:5" x14ac:dyDescent="0.35">
      <c r="A22" s="5" t="s">
        <v>5</v>
      </c>
      <c r="B22" s="11">
        <v>800</v>
      </c>
      <c r="C22" s="11">
        <v>800</v>
      </c>
    </row>
    <row r="23" spans="1:5" x14ac:dyDescent="0.35">
      <c r="A23" s="5" t="s">
        <v>6</v>
      </c>
      <c r="B23" s="11">
        <v>50</v>
      </c>
      <c r="C23" s="11">
        <v>60</v>
      </c>
    </row>
    <row r="26" spans="1:5" x14ac:dyDescent="0.35">
      <c r="A26" s="10" t="s">
        <v>17</v>
      </c>
    </row>
    <row r="28" spans="1:5" x14ac:dyDescent="0.35">
      <c r="A28" s="1" t="s">
        <v>13</v>
      </c>
      <c r="B28" s="2" t="s">
        <v>0</v>
      </c>
      <c r="C28" s="2" t="s">
        <v>1</v>
      </c>
      <c r="D28" s="2" t="s">
        <v>2</v>
      </c>
      <c r="E28" s="3" t="s">
        <v>3</v>
      </c>
    </row>
    <row r="29" spans="1:5" x14ac:dyDescent="0.35">
      <c r="A29" s="5" t="s">
        <v>4</v>
      </c>
      <c r="B29" s="11">
        <f>B5*$B$21</f>
        <v>600000</v>
      </c>
      <c r="C29" s="11">
        <f>C5*$B$21</f>
        <v>1200000</v>
      </c>
      <c r="D29" s="11">
        <f>D5*$B$21</f>
        <v>1200000</v>
      </c>
      <c r="E29" s="12">
        <f>SUM(B29:D29)</f>
        <v>3000000</v>
      </c>
    </row>
    <row r="30" spans="1:5" x14ac:dyDescent="0.35">
      <c r="A30" s="5" t="s">
        <v>5</v>
      </c>
      <c r="B30" s="11">
        <f>B6*$B$22</f>
        <v>3200000</v>
      </c>
      <c r="C30" s="11">
        <f>C6*$B$22</f>
        <v>1600000</v>
      </c>
      <c r="D30" s="11">
        <f>D6*$B$22</f>
        <v>400000</v>
      </c>
      <c r="E30" s="12">
        <f t="shared" ref="E30:E32" si="5">SUM(B30:D30)</f>
        <v>5200000</v>
      </c>
    </row>
    <row r="31" spans="1:5" x14ac:dyDescent="0.35">
      <c r="A31" s="5" t="s">
        <v>6</v>
      </c>
      <c r="B31" s="11">
        <f>B7*$B$23</f>
        <v>250000</v>
      </c>
      <c r="C31" s="11">
        <f>C7*$B$23</f>
        <v>250000</v>
      </c>
      <c r="D31" s="11">
        <f>D7*$B$23</f>
        <v>250000</v>
      </c>
      <c r="E31" s="12">
        <f t="shared" si="5"/>
        <v>750000</v>
      </c>
    </row>
    <row r="32" spans="1:5" x14ac:dyDescent="0.35">
      <c r="A32" s="8" t="s">
        <v>7</v>
      </c>
      <c r="B32" s="12">
        <f>SUM(B29:B31)</f>
        <v>4050000</v>
      </c>
      <c r="C32" s="12">
        <f t="shared" ref="C32" si="6">SUM(C29:C31)</f>
        <v>3050000</v>
      </c>
      <c r="D32" s="12">
        <f t="shared" ref="D32" si="7">SUM(D29:D31)</f>
        <v>1850000</v>
      </c>
      <c r="E32" s="12">
        <f t="shared" si="5"/>
        <v>8950000</v>
      </c>
    </row>
    <row r="35" spans="1:5" x14ac:dyDescent="0.35">
      <c r="A35" s="1" t="s">
        <v>14</v>
      </c>
      <c r="B35" s="2" t="s">
        <v>0</v>
      </c>
      <c r="C35" s="2" t="s">
        <v>1</v>
      </c>
      <c r="D35" s="2" t="s">
        <v>2</v>
      </c>
      <c r="E35" s="3" t="s">
        <v>3</v>
      </c>
    </row>
    <row r="36" spans="1:5" x14ac:dyDescent="0.35">
      <c r="A36" s="5" t="s">
        <v>4</v>
      </c>
      <c r="B36" s="11">
        <f>+B12*$C$21</f>
        <v>550000</v>
      </c>
      <c r="C36" s="11">
        <f>+C12*$C$21</f>
        <v>1100000</v>
      </c>
      <c r="D36" s="11">
        <f>+D12*$C$21</f>
        <v>1100000</v>
      </c>
      <c r="E36" s="12">
        <f>SUM(B36:D36)</f>
        <v>2750000</v>
      </c>
    </row>
    <row r="37" spans="1:5" x14ac:dyDescent="0.35">
      <c r="A37" s="5" t="s">
        <v>5</v>
      </c>
      <c r="B37" s="11">
        <f>+B13*$C$22</f>
        <v>1760000</v>
      </c>
      <c r="C37" s="11">
        <f>+C13*$C$22</f>
        <v>640000</v>
      </c>
      <c r="D37" s="11">
        <f>+D13*$C$22</f>
        <v>80000</v>
      </c>
      <c r="E37" s="12">
        <f t="shared" ref="E37:E39" si="8">SUM(B37:D37)</f>
        <v>2480000</v>
      </c>
    </row>
    <row r="38" spans="1:5" x14ac:dyDescent="0.35">
      <c r="A38" s="5" t="s">
        <v>6</v>
      </c>
      <c r="B38" s="11">
        <f>+B14*$C$23</f>
        <v>330000</v>
      </c>
      <c r="C38" s="11">
        <f>+C14*$C$23</f>
        <v>360000</v>
      </c>
      <c r="D38" s="11">
        <f>+D14*$C$23</f>
        <v>390000</v>
      </c>
      <c r="E38" s="12">
        <f t="shared" si="8"/>
        <v>1080000</v>
      </c>
    </row>
    <row r="39" spans="1:5" x14ac:dyDescent="0.35">
      <c r="A39" s="8" t="s">
        <v>7</v>
      </c>
      <c r="B39" s="12">
        <f>SUM(B36:B38)</f>
        <v>2640000</v>
      </c>
      <c r="C39" s="12">
        <f t="shared" ref="C39" si="9">SUM(C36:C38)</f>
        <v>2100000</v>
      </c>
      <c r="D39" s="12">
        <f t="shared" ref="D39" si="10">SUM(D36:D38)</f>
        <v>1570000</v>
      </c>
      <c r="E39" s="12">
        <f t="shared" si="8"/>
        <v>6310000</v>
      </c>
    </row>
    <row r="41" spans="1:5" ht="57" customHeight="1" x14ac:dyDescent="0.35">
      <c r="A41" s="55" t="s">
        <v>19</v>
      </c>
      <c r="B41" s="55"/>
      <c r="C41" s="55"/>
      <c r="D41" s="55"/>
      <c r="E41" s="55"/>
    </row>
    <row r="42" spans="1:5" x14ac:dyDescent="0.35">
      <c r="A42" s="10" t="s">
        <v>20</v>
      </c>
    </row>
    <row r="44" spans="1:5" x14ac:dyDescent="0.35">
      <c r="A44" s="1" t="s">
        <v>21</v>
      </c>
      <c r="B44" s="2" t="s">
        <v>0</v>
      </c>
      <c r="C44" s="2" t="s">
        <v>1</v>
      </c>
      <c r="D44" s="2" t="s">
        <v>2</v>
      </c>
      <c r="E44" s="3" t="s">
        <v>3</v>
      </c>
    </row>
    <row r="45" spans="1:5" x14ac:dyDescent="0.35">
      <c r="A45" s="5" t="s">
        <v>4</v>
      </c>
      <c r="B45" s="6">
        <v>5000</v>
      </c>
      <c r="C45" s="6">
        <v>5000</v>
      </c>
      <c r="D45" s="6">
        <v>5000</v>
      </c>
      <c r="E45" s="7">
        <f>SUM(B45:D45)</f>
        <v>15000</v>
      </c>
    </row>
    <row r="46" spans="1:5" x14ac:dyDescent="0.35">
      <c r="A46" s="5" t="s">
        <v>5</v>
      </c>
      <c r="B46" s="6">
        <v>500</v>
      </c>
      <c r="C46" s="6">
        <v>500</v>
      </c>
      <c r="D46" s="6">
        <v>500</v>
      </c>
      <c r="E46" s="7">
        <f t="shared" ref="E46:E48" si="11">SUM(B46:D46)</f>
        <v>1500</v>
      </c>
    </row>
    <row r="47" spans="1:5" x14ac:dyDescent="0.35">
      <c r="A47" s="5" t="s">
        <v>6</v>
      </c>
      <c r="B47" s="6">
        <v>6000</v>
      </c>
      <c r="C47" s="6">
        <v>6000</v>
      </c>
      <c r="D47" s="6">
        <v>6000</v>
      </c>
      <c r="E47" s="7">
        <f t="shared" si="11"/>
        <v>18000</v>
      </c>
    </row>
    <row r="48" spans="1:5" x14ac:dyDescent="0.35">
      <c r="A48" s="8" t="s">
        <v>7</v>
      </c>
      <c r="B48" s="7">
        <f>SUM(B45:B47)</f>
        <v>11500</v>
      </c>
      <c r="C48" s="7">
        <f t="shared" ref="C48" si="12">SUM(C45:C47)</f>
        <v>11500</v>
      </c>
      <c r="D48" s="7">
        <f t="shared" ref="D48" si="13">SUM(D45:D47)</f>
        <v>11500</v>
      </c>
      <c r="E48" s="7">
        <f t="shared" si="11"/>
        <v>34500</v>
      </c>
    </row>
    <row r="50" spans="1:5" x14ac:dyDescent="0.35">
      <c r="A50" s="1" t="s">
        <v>22</v>
      </c>
      <c r="B50" s="2" t="s">
        <v>0</v>
      </c>
      <c r="C50" s="2" t="s">
        <v>1</v>
      </c>
      <c r="D50" s="2" t="s">
        <v>2</v>
      </c>
      <c r="E50" s="3" t="s">
        <v>3</v>
      </c>
    </row>
    <row r="51" spans="1:5" x14ac:dyDescent="0.35">
      <c r="A51" s="5" t="s">
        <v>4</v>
      </c>
      <c r="B51" s="6">
        <v>5000</v>
      </c>
      <c r="C51" s="6">
        <v>5000</v>
      </c>
      <c r="D51" s="6">
        <v>5000</v>
      </c>
      <c r="E51" s="7">
        <f>SUM(B51:D51)</f>
        <v>15000</v>
      </c>
    </row>
    <row r="52" spans="1:5" x14ac:dyDescent="0.35">
      <c r="A52" s="5" t="s">
        <v>5</v>
      </c>
      <c r="B52" s="6">
        <v>200</v>
      </c>
      <c r="C52" s="6">
        <v>200</v>
      </c>
      <c r="D52" s="6">
        <v>200</v>
      </c>
      <c r="E52" s="7">
        <f t="shared" ref="E52:E54" si="14">SUM(B52:D52)</f>
        <v>600</v>
      </c>
    </row>
    <row r="53" spans="1:5" x14ac:dyDescent="0.35">
      <c r="A53" s="5" t="s">
        <v>6</v>
      </c>
      <c r="B53" s="6">
        <v>6200</v>
      </c>
      <c r="C53" s="6">
        <v>6200</v>
      </c>
      <c r="D53" s="6">
        <v>6200</v>
      </c>
      <c r="E53" s="7">
        <f t="shared" si="14"/>
        <v>18600</v>
      </c>
    </row>
    <row r="54" spans="1:5" x14ac:dyDescent="0.35">
      <c r="A54" s="8" t="s">
        <v>7</v>
      </c>
      <c r="B54" s="7">
        <f>SUM(B51:B53)</f>
        <v>11400</v>
      </c>
      <c r="C54" s="7">
        <f t="shared" ref="C54" si="15">SUM(C51:C53)</f>
        <v>11400</v>
      </c>
      <c r="D54" s="7">
        <f t="shared" ref="D54" si="16">SUM(D51:D53)</f>
        <v>11400</v>
      </c>
      <c r="E54" s="7">
        <f t="shared" si="14"/>
        <v>34200</v>
      </c>
    </row>
    <row r="57" spans="1:5" x14ac:dyDescent="0.35">
      <c r="A57" s="10" t="s">
        <v>23</v>
      </c>
    </row>
    <row r="59" spans="1:5" ht="43.5" x14ac:dyDescent="0.35">
      <c r="A59" s="1"/>
      <c r="B59" s="13" t="s">
        <v>24</v>
      </c>
      <c r="C59" s="13" t="s">
        <v>25</v>
      </c>
      <c r="D59" s="13" t="s">
        <v>26</v>
      </c>
    </row>
    <row r="60" spans="1:5" x14ac:dyDescent="0.35">
      <c r="A60" s="5" t="s">
        <v>4</v>
      </c>
      <c r="B60" s="14">
        <v>0.16666666666666666</v>
      </c>
      <c r="C60" s="6">
        <f>B45</f>
        <v>5000</v>
      </c>
      <c r="D60" s="6">
        <f>B60*C60</f>
        <v>833.33333333333326</v>
      </c>
    </row>
    <row r="61" spans="1:5" x14ac:dyDescent="0.35">
      <c r="A61" s="5" t="s">
        <v>5</v>
      </c>
      <c r="B61" s="14">
        <v>0.16666666666666666</v>
      </c>
      <c r="C61" s="6">
        <f>B46</f>
        <v>500</v>
      </c>
      <c r="D61" s="6">
        <f t="shared" ref="D61:D62" si="17">B61*C61</f>
        <v>83.333333333333329</v>
      </c>
    </row>
    <row r="62" spans="1:5" x14ac:dyDescent="0.35">
      <c r="A62" s="5" t="s">
        <v>6</v>
      </c>
      <c r="B62" s="14">
        <v>0.16666666666666666</v>
      </c>
      <c r="C62" s="6">
        <f>B47</f>
        <v>6000</v>
      </c>
      <c r="D62" s="6">
        <f t="shared" si="17"/>
        <v>1000</v>
      </c>
    </row>
    <row r="63" spans="1:5" x14ac:dyDescent="0.35">
      <c r="A63" s="8" t="s">
        <v>7</v>
      </c>
      <c r="B63" s="7"/>
      <c r="C63" s="7">
        <f t="shared" ref="C63" si="18">SUM(C60:C62)</f>
        <v>11500</v>
      </c>
      <c r="D63" s="7">
        <f t="shared" ref="D63" si="19">SUM(D60:D62)</f>
        <v>1916.6666666666665</v>
      </c>
    </row>
    <row r="65" spans="1:5" x14ac:dyDescent="0.35">
      <c r="A65" s="4" t="s">
        <v>27</v>
      </c>
    </row>
    <row r="66" spans="1:5" x14ac:dyDescent="0.35">
      <c r="A66" s="4" t="s">
        <v>28</v>
      </c>
    </row>
    <row r="67" spans="1:5" x14ac:dyDescent="0.35">
      <c r="A67" s="15" t="s">
        <v>95</v>
      </c>
      <c r="B67" s="16">
        <f>14*1200/1917</f>
        <v>8.7636932707355246</v>
      </c>
    </row>
    <row r="69" spans="1:5" x14ac:dyDescent="0.35">
      <c r="A69" s="10" t="s">
        <v>29</v>
      </c>
    </row>
    <row r="71" spans="1:5" ht="43.5" x14ac:dyDescent="0.35">
      <c r="A71" s="1"/>
      <c r="B71" s="13" t="s">
        <v>30</v>
      </c>
      <c r="C71" s="13" t="s">
        <v>25</v>
      </c>
      <c r="D71" s="13" t="s">
        <v>26</v>
      </c>
    </row>
    <row r="72" spans="1:5" x14ac:dyDescent="0.35">
      <c r="A72" s="5" t="s">
        <v>4</v>
      </c>
      <c r="B72" s="14">
        <v>0.2</v>
      </c>
      <c r="C72" s="6">
        <f>C51</f>
        <v>5000</v>
      </c>
      <c r="D72" s="6">
        <f>B72*C72</f>
        <v>1000</v>
      </c>
    </row>
    <row r="73" spans="1:5" x14ac:dyDescent="0.35">
      <c r="A73" s="5" t="s">
        <v>5</v>
      </c>
      <c r="B73" s="14">
        <v>0.2</v>
      </c>
      <c r="C73" s="6">
        <f t="shared" ref="C73:C74" si="20">C52</f>
        <v>200</v>
      </c>
      <c r="D73" s="6">
        <f t="shared" ref="D73:D74" si="21">B73*C73</f>
        <v>40</v>
      </c>
    </row>
    <row r="74" spans="1:5" x14ac:dyDescent="0.35">
      <c r="A74" s="5" t="s">
        <v>6</v>
      </c>
      <c r="B74" s="14">
        <v>0.2</v>
      </c>
      <c r="C74" s="6">
        <f t="shared" si="20"/>
        <v>6200</v>
      </c>
      <c r="D74" s="6">
        <f t="shared" si="21"/>
        <v>1240</v>
      </c>
    </row>
    <row r="75" spans="1:5" x14ac:dyDescent="0.35">
      <c r="A75" s="8" t="s">
        <v>7</v>
      </c>
      <c r="B75" s="7"/>
      <c r="C75" s="7">
        <f t="shared" ref="C75" si="22">SUM(C72:C74)</f>
        <v>11400</v>
      </c>
      <c r="D75" s="7">
        <f t="shared" ref="D75" si="23">SUM(D72:D74)</f>
        <v>2280</v>
      </c>
    </row>
    <row r="76" spans="1:5" ht="15.75" customHeight="1" x14ac:dyDescent="0.35"/>
    <row r="77" spans="1:5" ht="15.75" customHeight="1" x14ac:dyDescent="0.35">
      <c r="A77" s="4" t="s">
        <v>89</v>
      </c>
    </row>
    <row r="78" spans="1:5" ht="15.75" customHeight="1" x14ac:dyDescent="0.35">
      <c r="A78" s="28" t="s">
        <v>72</v>
      </c>
      <c r="B78" s="27">
        <f>C75</f>
        <v>11400</v>
      </c>
      <c r="C78" s="30" t="s">
        <v>71</v>
      </c>
      <c r="D78" s="41">
        <f>B73</f>
        <v>0.2</v>
      </c>
    </row>
    <row r="79" spans="1:5" ht="15.75" customHeight="1" x14ac:dyDescent="0.35">
      <c r="A79" s="28" t="s">
        <v>72</v>
      </c>
      <c r="B79" s="27">
        <f>B78*D78</f>
        <v>2280</v>
      </c>
      <c r="C79" s="4" t="s">
        <v>90</v>
      </c>
    </row>
    <row r="80" spans="1:5" ht="15.75" customHeight="1" x14ac:dyDescent="0.35">
      <c r="A80" s="4" t="s">
        <v>96</v>
      </c>
      <c r="D80" s="42">
        <f>12*160</f>
        <v>1920</v>
      </c>
      <c r="E80" s="4" t="s">
        <v>91</v>
      </c>
    </row>
    <row r="81" spans="1:6" ht="15.75" customHeight="1" x14ac:dyDescent="0.35">
      <c r="A81" s="4" t="s">
        <v>92</v>
      </c>
      <c r="B81" s="27">
        <f>B79-D80</f>
        <v>360</v>
      </c>
      <c r="C81" s="4" t="s">
        <v>93</v>
      </c>
      <c r="F81" s="43">
        <f>B67*1.5</f>
        <v>13.145539906103288</v>
      </c>
    </row>
    <row r="82" spans="1:6" ht="15.75" customHeight="1" x14ac:dyDescent="0.35">
      <c r="A82" s="4" t="s">
        <v>94</v>
      </c>
      <c r="C82" s="27">
        <f>+D80</f>
        <v>1920</v>
      </c>
      <c r="D82" s="30" t="s">
        <v>71</v>
      </c>
      <c r="E82" s="44">
        <f>B67</f>
        <v>8.7636932707355246</v>
      </c>
    </row>
    <row r="83" spans="1:6" ht="15.75" customHeight="1" x14ac:dyDescent="0.35">
      <c r="B83" s="28" t="s">
        <v>97</v>
      </c>
      <c r="C83" s="27">
        <f>B81</f>
        <v>360</v>
      </c>
      <c r="D83" s="30" t="s">
        <v>71</v>
      </c>
      <c r="E83" s="43">
        <f>F81</f>
        <v>13.145539906103288</v>
      </c>
    </row>
    <row r="84" spans="1:6" ht="15.75" customHeight="1" x14ac:dyDescent="0.35">
      <c r="B84" s="45" t="s">
        <v>98</v>
      </c>
      <c r="C84" s="27">
        <f>D75</f>
        <v>2280</v>
      </c>
    </row>
    <row r="85" spans="1:6" ht="15.75" customHeight="1" x14ac:dyDescent="0.35">
      <c r="B85" s="28" t="s">
        <v>72</v>
      </c>
      <c r="C85" s="16">
        <f>((C82*E82)+(C83*E83))/C84</f>
        <v>9.4555637921093805</v>
      </c>
    </row>
    <row r="87" spans="1:6" x14ac:dyDescent="0.35">
      <c r="A87" s="10" t="s">
        <v>32</v>
      </c>
    </row>
    <row r="89" spans="1:6" ht="29" x14ac:dyDescent="0.35">
      <c r="A89" s="1" t="s">
        <v>31</v>
      </c>
      <c r="B89" s="17" t="s">
        <v>33</v>
      </c>
      <c r="C89" s="17" t="s">
        <v>34</v>
      </c>
    </row>
    <row r="90" spans="1:6" ht="19.5" customHeight="1" x14ac:dyDescent="0.35">
      <c r="A90" s="5" t="s">
        <v>35</v>
      </c>
      <c r="B90" s="11">
        <v>10000</v>
      </c>
      <c r="C90" s="11">
        <f>+B90*3</f>
        <v>30000</v>
      </c>
    </row>
    <row r="91" spans="1:6" ht="19.5" customHeight="1" x14ac:dyDescent="0.35">
      <c r="A91" s="5" t="s">
        <v>36</v>
      </c>
      <c r="B91" s="11">
        <v>15000</v>
      </c>
      <c r="C91" s="11">
        <f t="shared" ref="C91:C95" si="24">+B91*3</f>
        <v>45000</v>
      </c>
    </row>
    <row r="92" spans="1:6" ht="19.5" customHeight="1" x14ac:dyDescent="0.35">
      <c r="A92" s="5" t="s">
        <v>37</v>
      </c>
      <c r="B92" s="11">
        <v>5000</v>
      </c>
      <c r="C92" s="11">
        <f t="shared" si="24"/>
        <v>15000</v>
      </c>
    </row>
    <row r="93" spans="1:6" ht="19.5" customHeight="1" x14ac:dyDescent="0.35">
      <c r="A93" s="5" t="s">
        <v>38</v>
      </c>
      <c r="B93" s="11">
        <v>10000</v>
      </c>
      <c r="C93" s="11">
        <f t="shared" si="24"/>
        <v>30000</v>
      </c>
    </row>
    <row r="94" spans="1:6" ht="19.5" customHeight="1" x14ac:dyDescent="0.35">
      <c r="A94" s="5" t="s">
        <v>43</v>
      </c>
      <c r="B94" s="11">
        <v>5000</v>
      </c>
      <c r="C94" s="11">
        <f t="shared" si="24"/>
        <v>15000</v>
      </c>
    </row>
    <row r="95" spans="1:6" ht="19.5" customHeight="1" x14ac:dyDescent="0.35">
      <c r="A95" s="5" t="s">
        <v>39</v>
      </c>
      <c r="B95" s="11">
        <v>2000</v>
      </c>
      <c r="C95" s="11">
        <f t="shared" si="24"/>
        <v>6000</v>
      </c>
    </row>
    <row r="96" spans="1:6" ht="19.5" customHeight="1" x14ac:dyDescent="0.35">
      <c r="A96" s="8" t="s">
        <v>7</v>
      </c>
      <c r="B96" s="12">
        <f>SUM(B90:B95)</f>
        <v>47000</v>
      </c>
      <c r="C96" s="12">
        <f>SUM(C90:C95)</f>
        <v>141000</v>
      </c>
    </row>
    <row r="97" spans="1:5" x14ac:dyDescent="0.35">
      <c r="B97" s="9"/>
      <c r="C97" s="9"/>
    </row>
    <row r="99" spans="1:5" x14ac:dyDescent="0.35">
      <c r="A99" s="10" t="s">
        <v>40</v>
      </c>
    </row>
    <row r="101" spans="1:5" ht="43.5" x14ac:dyDescent="0.35">
      <c r="A101" s="1" t="s">
        <v>31</v>
      </c>
      <c r="B101" s="17" t="s">
        <v>41</v>
      </c>
      <c r="C101" s="17" t="s">
        <v>42</v>
      </c>
    </row>
    <row r="102" spans="1:5" x14ac:dyDescent="0.35">
      <c r="A102" s="5" t="s">
        <v>35</v>
      </c>
      <c r="B102" s="11">
        <v>10000</v>
      </c>
      <c r="C102" s="11">
        <f>+B102*3</f>
        <v>30000</v>
      </c>
    </row>
    <row r="103" spans="1:5" x14ac:dyDescent="0.35">
      <c r="A103" s="5" t="s">
        <v>36</v>
      </c>
      <c r="B103" s="11">
        <v>15000</v>
      </c>
      <c r="C103" s="11">
        <f t="shared" ref="C103:C107" si="25">+B103*3</f>
        <v>45000</v>
      </c>
    </row>
    <row r="104" spans="1:5" x14ac:dyDescent="0.35">
      <c r="A104" s="5" t="s">
        <v>37</v>
      </c>
      <c r="B104" s="11">
        <v>4000</v>
      </c>
      <c r="C104" s="11">
        <f t="shared" si="25"/>
        <v>12000</v>
      </c>
    </row>
    <row r="105" spans="1:5" x14ac:dyDescent="0.35">
      <c r="A105" s="5" t="s">
        <v>38</v>
      </c>
      <c r="B105" s="11">
        <v>10000</v>
      </c>
      <c r="C105" s="11">
        <f t="shared" si="25"/>
        <v>30000</v>
      </c>
    </row>
    <row r="106" spans="1:5" x14ac:dyDescent="0.35">
      <c r="A106" s="5" t="s">
        <v>43</v>
      </c>
      <c r="B106" s="11">
        <v>3000</v>
      </c>
      <c r="C106" s="11">
        <f t="shared" si="25"/>
        <v>9000</v>
      </c>
    </row>
    <row r="107" spans="1:5" x14ac:dyDescent="0.35">
      <c r="A107" s="5" t="s">
        <v>39</v>
      </c>
      <c r="B107" s="11">
        <v>2000</v>
      </c>
      <c r="C107" s="11">
        <f t="shared" si="25"/>
        <v>6000</v>
      </c>
    </row>
    <row r="108" spans="1:5" x14ac:dyDescent="0.35">
      <c r="A108" s="8" t="s">
        <v>7</v>
      </c>
      <c r="B108" s="12">
        <f>SUM(B102:B107)</f>
        <v>44000</v>
      </c>
      <c r="C108" s="12">
        <f>SUM(C102:C107)</f>
        <v>132000</v>
      </c>
    </row>
    <row r="110" spans="1:5" ht="72.75" customHeight="1" x14ac:dyDescent="0.35">
      <c r="A110" s="55" t="s">
        <v>44</v>
      </c>
      <c r="B110" s="55"/>
      <c r="C110" s="55"/>
      <c r="D110" s="55"/>
      <c r="E110" s="55"/>
    </row>
    <row r="111" spans="1:5" x14ac:dyDescent="0.35">
      <c r="A111" s="10" t="s">
        <v>45</v>
      </c>
    </row>
    <row r="113" spans="1:5" ht="29" x14ac:dyDescent="0.35">
      <c r="A113" s="1" t="s">
        <v>46</v>
      </c>
      <c r="B113" s="13" t="s">
        <v>47</v>
      </c>
      <c r="C113" s="13" t="s">
        <v>25</v>
      </c>
      <c r="D113" s="13" t="s">
        <v>48</v>
      </c>
      <c r="E113" s="13" t="s">
        <v>49</v>
      </c>
    </row>
    <row r="114" spans="1:5" x14ac:dyDescent="0.35">
      <c r="A114" s="5" t="s">
        <v>4</v>
      </c>
      <c r="B114" s="18">
        <v>10</v>
      </c>
      <c r="C114" s="6">
        <f>C60</f>
        <v>5000</v>
      </c>
      <c r="D114" s="6">
        <v>1</v>
      </c>
      <c r="E114" s="6">
        <f>+B114*D114</f>
        <v>10</v>
      </c>
    </row>
    <row r="115" spans="1:5" x14ac:dyDescent="0.35">
      <c r="A115" s="5" t="s">
        <v>5</v>
      </c>
      <c r="B115" s="18">
        <v>15</v>
      </c>
      <c r="C115" s="6">
        <f t="shared" ref="C115:C116" si="26">C61</f>
        <v>500</v>
      </c>
      <c r="D115" s="6">
        <v>1</v>
      </c>
      <c r="E115" s="6">
        <f>+B115*D115</f>
        <v>15</v>
      </c>
    </row>
    <row r="116" spans="1:5" x14ac:dyDescent="0.35">
      <c r="A116" s="5" t="s">
        <v>6</v>
      </c>
      <c r="B116" s="18">
        <v>8</v>
      </c>
      <c r="C116" s="6">
        <f t="shared" si="26"/>
        <v>6000</v>
      </c>
      <c r="D116" s="6">
        <v>2</v>
      </c>
      <c r="E116" s="6">
        <f>+B116*D116</f>
        <v>16</v>
      </c>
    </row>
    <row r="118" spans="1:5" ht="29" x14ac:dyDescent="0.35">
      <c r="A118" s="1" t="s">
        <v>50</v>
      </c>
      <c r="B118" s="13" t="s">
        <v>47</v>
      </c>
      <c r="C118" s="13" t="s">
        <v>25</v>
      </c>
      <c r="D118" s="13" t="s">
        <v>48</v>
      </c>
      <c r="E118" s="13" t="s">
        <v>49</v>
      </c>
    </row>
    <row r="119" spans="1:5" x14ac:dyDescent="0.35">
      <c r="A119" s="5" t="s">
        <v>4</v>
      </c>
      <c r="B119" s="18">
        <v>10</v>
      </c>
      <c r="C119" s="6">
        <f>C51</f>
        <v>5000</v>
      </c>
      <c r="D119" s="19">
        <v>0.9</v>
      </c>
      <c r="E119" s="6">
        <f>+B119*D119</f>
        <v>9</v>
      </c>
    </row>
    <row r="120" spans="1:5" x14ac:dyDescent="0.35">
      <c r="A120" s="5" t="s">
        <v>5</v>
      </c>
      <c r="B120" s="18">
        <v>15</v>
      </c>
      <c r="C120" s="6">
        <f t="shared" ref="C120:C121" si="27">C52</f>
        <v>200</v>
      </c>
      <c r="D120" s="6">
        <v>0.8</v>
      </c>
      <c r="E120" s="6">
        <f>+B120*D120</f>
        <v>12</v>
      </c>
    </row>
    <row r="121" spans="1:5" x14ac:dyDescent="0.35">
      <c r="A121" s="5" t="s">
        <v>6</v>
      </c>
      <c r="B121" s="18">
        <v>9</v>
      </c>
      <c r="C121" s="6">
        <f t="shared" si="27"/>
        <v>6200</v>
      </c>
      <c r="D121" s="6">
        <v>2.1</v>
      </c>
      <c r="E121" s="6">
        <f>+B121*D121</f>
        <v>18.900000000000002</v>
      </c>
    </row>
    <row r="123" spans="1:5" x14ac:dyDescent="0.35">
      <c r="A123" s="10" t="s">
        <v>65</v>
      </c>
    </row>
    <row r="125" spans="1:5" ht="29" x14ac:dyDescent="0.35">
      <c r="A125" s="1" t="s">
        <v>46</v>
      </c>
      <c r="B125" s="13" t="s">
        <v>4</v>
      </c>
      <c r="C125" s="13" t="s">
        <v>5</v>
      </c>
      <c r="D125" s="13" t="s">
        <v>6</v>
      </c>
    </row>
    <row r="126" spans="1:5" x14ac:dyDescent="0.35">
      <c r="A126" s="5" t="s">
        <v>66</v>
      </c>
      <c r="B126" s="34">
        <f>E114</f>
        <v>10</v>
      </c>
      <c r="C126" s="34">
        <f>E115</f>
        <v>15</v>
      </c>
      <c r="D126" s="46">
        <f>E116</f>
        <v>16</v>
      </c>
    </row>
    <row r="127" spans="1:5" x14ac:dyDescent="0.35">
      <c r="A127" s="5" t="s">
        <v>67</v>
      </c>
      <c r="B127" s="34">
        <f>+B60*$B$67</f>
        <v>1.4606155451225873</v>
      </c>
      <c r="C127" s="34">
        <f>B61*$B$67</f>
        <v>1.4606155451225873</v>
      </c>
      <c r="D127" s="34">
        <f>B62*$B$67</f>
        <v>1.4606155451225873</v>
      </c>
    </row>
    <row r="128" spans="1:5" x14ac:dyDescent="0.35">
      <c r="A128" s="5" t="s">
        <v>31</v>
      </c>
      <c r="B128" s="34">
        <f>$C$96/$E$48</f>
        <v>4.0869565217391308</v>
      </c>
      <c r="C128" s="34">
        <f>$C$96/$E$48</f>
        <v>4.0869565217391308</v>
      </c>
      <c r="D128" s="34">
        <f>$C$96/$E$48</f>
        <v>4.0869565217391308</v>
      </c>
    </row>
    <row r="129" spans="1:4" x14ac:dyDescent="0.35">
      <c r="A129" s="8" t="s">
        <v>7</v>
      </c>
      <c r="B129" s="47">
        <f>SUM(B126:B128)</f>
        <v>15.547572066861719</v>
      </c>
      <c r="C129" s="47">
        <f t="shared" ref="C129:D129" si="28">SUM(C126:C128)</f>
        <v>20.547572066861719</v>
      </c>
      <c r="D129" s="47">
        <f t="shared" si="28"/>
        <v>21.547572066861719</v>
      </c>
    </row>
    <row r="130" spans="1:4" x14ac:dyDescent="0.35">
      <c r="A130" s="22"/>
      <c r="B130" s="23"/>
      <c r="C130" s="24"/>
    </row>
    <row r="132" spans="1:4" ht="29" x14ac:dyDescent="0.35">
      <c r="A132" s="1" t="s">
        <v>50</v>
      </c>
      <c r="B132" s="13" t="s">
        <v>4</v>
      </c>
      <c r="C132" s="13" t="s">
        <v>5</v>
      </c>
      <c r="D132" s="13" t="s">
        <v>6</v>
      </c>
    </row>
    <row r="133" spans="1:4" x14ac:dyDescent="0.35">
      <c r="A133" s="5" t="s">
        <v>66</v>
      </c>
      <c r="B133" s="34">
        <f>E119</f>
        <v>9</v>
      </c>
      <c r="C133" s="34">
        <f>E120</f>
        <v>12</v>
      </c>
      <c r="D133" s="46">
        <f>E121</f>
        <v>18.900000000000002</v>
      </c>
    </row>
    <row r="134" spans="1:4" x14ac:dyDescent="0.35">
      <c r="A134" s="5" t="s">
        <v>67</v>
      </c>
      <c r="B134" s="34">
        <f>B72*$C$85</f>
        <v>1.8911127584218761</v>
      </c>
      <c r="C134" s="34">
        <f>B73*$C$85</f>
        <v>1.8911127584218761</v>
      </c>
      <c r="D134" s="34">
        <f>B74*$C$85</f>
        <v>1.8911127584218761</v>
      </c>
    </row>
    <row r="135" spans="1:4" x14ac:dyDescent="0.35">
      <c r="A135" s="5" t="s">
        <v>31</v>
      </c>
      <c r="B135" s="34">
        <f>$C$108/$E$54</f>
        <v>3.8596491228070176</v>
      </c>
      <c r="C135" s="34">
        <f>$C$108/$E$54</f>
        <v>3.8596491228070176</v>
      </c>
      <c r="D135" s="34">
        <f>$C$108/$E$54</f>
        <v>3.8596491228070176</v>
      </c>
    </row>
    <row r="136" spans="1:4" x14ac:dyDescent="0.35">
      <c r="A136" s="8" t="s">
        <v>7</v>
      </c>
      <c r="B136" s="47">
        <f>SUM(B133:B135)</f>
        <v>14.750761881228893</v>
      </c>
      <c r="C136" s="47">
        <f t="shared" ref="C136:D136" si="29">SUM(C133:C135)</f>
        <v>17.750761881228893</v>
      </c>
      <c r="D136" s="47">
        <f t="shared" si="29"/>
        <v>24.650761881228895</v>
      </c>
    </row>
    <row r="138" spans="1:4" x14ac:dyDescent="0.35">
      <c r="A138" s="49" t="s">
        <v>107</v>
      </c>
    </row>
    <row r="139" spans="1:4" x14ac:dyDescent="0.35">
      <c r="A139" s="4" t="s">
        <v>108</v>
      </c>
    </row>
    <row r="140" spans="1:4" x14ac:dyDescent="0.35">
      <c r="A140" s="4" t="s">
        <v>109</v>
      </c>
    </row>
    <row r="141" spans="1:4" x14ac:dyDescent="0.35">
      <c r="A141" s="4" t="s">
        <v>110</v>
      </c>
    </row>
    <row r="142" spans="1:4" x14ac:dyDescent="0.35">
      <c r="A142" s="4" t="s">
        <v>111</v>
      </c>
    </row>
    <row r="143" spans="1:4" x14ac:dyDescent="0.35">
      <c r="A143" s="4" t="s">
        <v>112</v>
      </c>
    </row>
    <row r="145" spans="1:7" ht="21.75" customHeight="1" x14ac:dyDescent="0.35">
      <c r="A145" s="4" t="s">
        <v>51</v>
      </c>
    </row>
    <row r="146" spans="1:7" ht="21.75" customHeight="1" x14ac:dyDescent="0.35">
      <c r="A146" s="4" t="s">
        <v>52</v>
      </c>
    </row>
    <row r="147" spans="1:7" ht="21.75" customHeight="1" x14ac:dyDescent="0.35">
      <c r="A147" s="15" t="s">
        <v>53</v>
      </c>
    </row>
    <row r="148" spans="1:7" ht="21.75" customHeight="1" x14ac:dyDescent="0.35">
      <c r="A148" s="15" t="s">
        <v>54</v>
      </c>
    </row>
    <row r="149" spans="1:7" ht="21.75" customHeight="1" x14ac:dyDescent="0.35">
      <c r="A149" s="15" t="s">
        <v>55</v>
      </c>
    </row>
    <row r="150" spans="1:7" ht="21.75" customHeight="1" x14ac:dyDescent="0.35">
      <c r="A150" s="15" t="s">
        <v>56</v>
      </c>
    </row>
    <row r="151" spans="1:7" ht="21.75" customHeight="1" x14ac:dyDescent="0.35"/>
    <row r="152" spans="1:7" ht="21.75" customHeight="1" x14ac:dyDescent="0.35">
      <c r="A152" s="4" t="s">
        <v>57</v>
      </c>
    </row>
    <row r="153" spans="1:7" ht="21.75" customHeight="1" x14ac:dyDescent="0.35">
      <c r="A153" s="4" t="s">
        <v>58</v>
      </c>
    </row>
    <row r="154" spans="1:7" ht="21.75" customHeight="1" x14ac:dyDescent="0.35">
      <c r="A154" s="28" t="s">
        <v>116</v>
      </c>
      <c r="B154" s="30" t="s">
        <v>117</v>
      </c>
      <c r="C154" s="30" t="s">
        <v>69</v>
      </c>
      <c r="D154" s="30" t="s">
        <v>118</v>
      </c>
      <c r="E154" s="4" t="s">
        <v>81</v>
      </c>
      <c r="F154" s="4" t="s">
        <v>71</v>
      </c>
      <c r="G154" s="4" t="s">
        <v>119</v>
      </c>
    </row>
    <row r="155" spans="1:7" ht="21.75" customHeight="1" x14ac:dyDescent="0.35">
      <c r="A155" s="28" t="s">
        <v>80</v>
      </c>
      <c r="B155" s="29">
        <f>+C21</f>
        <v>550</v>
      </c>
      <c r="C155" s="30" t="s">
        <v>69</v>
      </c>
      <c r="D155" s="29">
        <f>B21</f>
        <v>600</v>
      </c>
      <c r="E155" s="4" t="s">
        <v>81</v>
      </c>
      <c r="F155" s="4" t="s">
        <v>71</v>
      </c>
      <c r="G155" s="27">
        <f>E12</f>
        <v>5000</v>
      </c>
    </row>
    <row r="156" spans="1:7" ht="21.75" customHeight="1" x14ac:dyDescent="0.35">
      <c r="A156" s="28" t="s">
        <v>72</v>
      </c>
      <c r="B156" s="31">
        <f>(B155-D155)*G155</f>
        <v>-250000</v>
      </c>
      <c r="C156" s="4" t="s">
        <v>82</v>
      </c>
      <c r="D156" s="29"/>
      <c r="F156" s="27"/>
    </row>
    <row r="157" spans="1:7" ht="21.75" customHeight="1" x14ac:dyDescent="0.35">
      <c r="A157" s="33" t="s">
        <v>85</v>
      </c>
      <c r="B157" s="29">
        <f>+C23</f>
        <v>60</v>
      </c>
      <c r="C157" s="30" t="s">
        <v>69</v>
      </c>
      <c r="D157" s="29">
        <f>+B23</f>
        <v>50</v>
      </c>
      <c r="E157" s="4" t="s">
        <v>81</v>
      </c>
      <c r="F157" s="4" t="s">
        <v>71</v>
      </c>
      <c r="G157" s="27">
        <f>+E14</f>
        <v>18000</v>
      </c>
    </row>
    <row r="158" spans="1:7" ht="21.75" customHeight="1" x14ac:dyDescent="0.35">
      <c r="A158" s="28" t="s">
        <v>72</v>
      </c>
      <c r="B158" s="31">
        <f>(B157-D157)*G157</f>
        <v>180000</v>
      </c>
      <c r="C158" s="4" t="s">
        <v>83</v>
      </c>
    </row>
    <row r="159" spans="1:7" ht="21.75" customHeight="1" x14ac:dyDescent="0.35">
      <c r="A159" s="20" t="s">
        <v>84</v>
      </c>
      <c r="B159" s="32">
        <f>B156+B158</f>
        <v>-70000</v>
      </c>
    </row>
    <row r="160" spans="1:7" ht="21.75" customHeight="1" x14ac:dyDescent="0.35"/>
    <row r="161" spans="1:5" ht="21.75" customHeight="1" x14ac:dyDescent="0.35">
      <c r="A161" s="4" t="s">
        <v>59</v>
      </c>
    </row>
    <row r="162" spans="1:5" ht="21.75" customHeight="1" x14ac:dyDescent="0.35">
      <c r="A162" s="4" t="s">
        <v>115</v>
      </c>
    </row>
    <row r="163" spans="1:5" ht="21.75" customHeight="1" x14ac:dyDescent="0.35">
      <c r="A163" s="4" t="s">
        <v>60</v>
      </c>
    </row>
    <row r="164" spans="1:5" ht="58" x14ac:dyDescent="0.35">
      <c r="A164" s="1" t="s">
        <v>61</v>
      </c>
      <c r="B164" s="13" t="s">
        <v>62</v>
      </c>
      <c r="C164" s="13" t="s">
        <v>64</v>
      </c>
      <c r="D164" s="13" t="s">
        <v>68</v>
      </c>
    </row>
    <row r="165" spans="1:5" x14ac:dyDescent="0.35">
      <c r="A165" s="5" t="s">
        <v>4</v>
      </c>
      <c r="B165" s="35">
        <f>+B21-B129</f>
        <v>584.45242793313832</v>
      </c>
      <c r="C165" s="25">
        <f>E5/$E$8</f>
        <v>0.18867924528301888</v>
      </c>
      <c r="D165" s="35">
        <f>B165*C165</f>
        <v>110.27404300625253</v>
      </c>
    </row>
    <row r="166" spans="1:5" x14ac:dyDescent="0.35">
      <c r="A166" s="5" t="s">
        <v>5</v>
      </c>
      <c r="B166" s="35">
        <f>+B22-C129</f>
        <v>779.45242793313832</v>
      </c>
      <c r="C166" s="25">
        <f>E6/$E$8</f>
        <v>0.24528301886792453</v>
      </c>
      <c r="D166" s="35">
        <f t="shared" ref="D166:D167" si="30">B166*C166</f>
        <v>191.18644458737356</v>
      </c>
    </row>
    <row r="167" spans="1:5" x14ac:dyDescent="0.35">
      <c r="A167" s="5" t="s">
        <v>6</v>
      </c>
      <c r="B167" s="35">
        <f>B23-D129</f>
        <v>28.452427933138281</v>
      </c>
      <c r="C167" s="25">
        <f>E7/$E$8</f>
        <v>0.56603773584905659</v>
      </c>
      <c r="D167" s="35">
        <f t="shared" si="30"/>
        <v>16.105147886682047</v>
      </c>
    </row>
    <row r="168" spans="1:5" x14ac:dyDescent="0.35">
      <c r="A168" s="8" t="s">
        <v>7</v>
      </c>
      <c r="B168" s="36">
        <f>SUM(B165:B167)</f>
        <v>1392.357283799415</v>
      </c>
      <c r="C168" s="26">
        <f t="shared" ref="C168" si="31">SUM(C165:C167)</f>
        <v>1</v>
      </c>
      <c r="D168" s="36">
        <f>SUM(D165:D167)</f>
        <v>317.56563548030817</v>
      </c>
    </row>
    <row r="170" spans="1:5" ht="21.75" customHeight="1" x14ac:dyDescent="0.35">
      <c r="A170" s="4" t="s">
        <v>70</v>
      </c>
    </row>
    <row r="171" spans="1:5" ht="21.75" customHeight="1" x14ac:dyDescent="0.35">
      <c r="A171" s="27">
        <f>E15</f>
        <v>26100</v>
      </c>
      <c r="B171" s="37" t="s">
        <v>69</v>
      </c>
      <c r="C171" s="27">
        <f>E8</f>
        <v>26500</v>
      </c>
      <c r="D171" s="4" t="s">
        <v>71</v>
      </c>
      <c r="E171" s="38">
        <f>D168</f>
        <v>317.56563548030817</v>
      </c>
    </row>
    <row r="172" spans="1:5" ht="21.75" customHeight="1" x14ac:dyDescent="0.35">
      <c r="A172" s="28" t="s">
        <v>72</v>
      </c>
      <c r="B172" s="51">
        <f>(A171-C171)*E171</f>
        <v>-127026.25419212328</v>
      </c>
    </row>
    <row r="173" spans="1:5" ht="21.75" customHeight="1" x14ac:dyDescent="0.35">
      <c r="A173" s="4" t="s">
        <v>73</v>
      </c>
    </row>
    <row r="175" spans="1:5" ht="22.5" customHeight="1" x14ac:dyDescent="0.35">
      <c r="A175" s="4" t="s">
        <v>74</v>
      </c>
    </row>
    <row r="176" spans="1:5" ht="22.5" customHeight="1" x14ac:dyDescent="0.35">
      <c r="A176" s="28" t="s">
        <v>120</v>
      </c>
      <c r="B176" s="4" t="s">
        <v>121</v>
      </c>
    </row>
    <row r="177" spans="1:6" ht="58" x14ac:dyDescent="0.35">
      <c r="A177" s="1" t="s">
        <v>61</v>
      </c>
      <c r="B177" s="13" t="s">
        <v>75</v>
      </c>
      <c r="C177" s="13" t="s">
        <v>63</v>
      </c>
      <c r="D177" s="13" t="s">
        <v>77</v>
      </c>
      <c r="E177" s="13" t="s">
        <v>76</v>
      </c>
    </row>
    <row r="178" spans="1:6" ht="22.5" customHeight="1" x14ac:dyDescent="0.35">
      <c r="A178" s="5" t="s">
        <v>4</v>
      </c>
      <c r="B178" s="21">
        <f>+$E$15*C165</f>
        <v>4924.5283018867931</v>
      </c>
      <c r="C178" s="6">
        <f>E12</f>
        <v>5000</v>
      </c>
      <c r="D178" s="39">
        <f>B165</f>
        <v>584.45242793313832</v>
      </c>
      <c r="E178" s="52">
        <f>(C178-B178)*D178</f>
        <v>44109.617202500638</v>
      </c>
      <c r="F178" s="4" t="s">
        <v>78</v>
      </c>
    </row>
    <row r="179" spans="1:6" ht="22.5" customHeight="1" x14ac:dyDescent="0.35">
      <c r="A179" s="5" t="s">
        <v>5</v>
      </c>
      <c r="B179" s="21">
        <f>+$E$15*C166</f>
        <v>6401.8867924528304</v>
      </c>
      <c r="C179" s="6">
        <f>E13</f>
        <v>3100</v>
      </c>
      <c r="D179" s="39">
        <f>B166</f>
        <v>779.45242793313832</v>
      </c>
      <c r="E179" s="52">
        <f>(C179-B179)*D179</f>
        <v>-2573663.6771377209</v>
      </c>
      <c r="F179" s="4" t="s">
        <v>79</v>
      </c>
    </row>
    <row r="180" spans="1:6" ht="22.5" customHeight="1" x14ac:dyDescent="0.35">
      <c r="A180" s="5" t="s">
        <v>6</v>
      </c>
      <c r="B180" s="21">
        <f>+$E$15*C167</f>
        <v>14773.584905660377</v>
      </c>
      <c r="C180" s="6">
        <f>E14</f>
        <v>18000</v>
      </c>
      <c r="D180" s="39">
        <f>B167</f>
        <v>28.452427933138281</v>
      </c>
      <c r="E180" s="52">
        <f>(C180-B180)*D180</f>
        <v>91799.342954087682</v>
      </c>
      <c r="F180" s="4" t="s">
        <v>78</v>
      </c>
    </row>
    <row r="181" spans="1:6" ht="22.5" customHeight="1" x14ac:dyDescent="0.35">
      <c r="A181" s="8" t="s">
        <v>7</v>
      </c>
      <c r="B181" s="7">
        <f>SUM(B178:B180)</f>
        <v>26100</v>
      </c>
      <c r="C181" s="7">
        <f t="shared" ref="C181" si="32">SUM(C178:C180)</f>
        <v>26100</v>
      </c>
      <c r="D181" s="40">
        <f>SUM(D178:D180)</f>
        <v>1392.357283799415</v>
      </c>
      <c r="E181" s="53">
        <f>SUM(E178:E180)</f>
        <v>-2437754.7169811325</v>
      </c>
      <c r="F181" s="4" t="s">
        <v>79</v>
      </c>
    </row>
    <row r="183" spans="1:6" x14ac:dyDescent="0.35">
      <c r="A183" s="4" t="s">
        <v>114</v>
      </c>
    </row>
    <row r="184" spans="1:6" x14ac:dyDescent="0.35">
      <c r="A184" s="28" t="s">
        <v>88</v>
      </c>
      <c r="B184" s="48">
        <f>B129</f>
        <v>15.547572066861719</v>
      </c>
      <c r="C184" s="30" t="s">
        <v>69</v>
      </c>
      <c r="D184" s="43">
        <f>+B136</f>
        <v>14.750761881228893</v>
      </c>
      <c r="E184" s="4" t="s">
        <v>99</v>
      </c>
      <c r="F184" s="27">
        <f>E12</f>
        <v>5000</v>
      </c>
    </row>
    <row r="185" spans="1:6" x14ac:dyDescent="0.35">
      <c r="A185" s="45" t="s">
        <v>72</v>
      </c>
      <c r="B185" s="32">
        <f>(B184-D184)*F184</f>
        <v>3984.0509281641266</v>
      </c>
      <c r="C185" s="30" t="s">
        <v>100</v>
      </c>
      <c r="D185" s="43"/>
      <c r="F185" s="27"/>
    </row>
    <row r="186" spans="1:6" x14ac:dyDescent="0.35">
      <c r="A186" s="28" t="s">
        <v>86</v>
      </c>
      <c r="B186" s="43">
        <f>C129</f>
        <v>20.547572066861719</v>
      </c>
      <c r="C186" s="30" t="s">
        <v>69</v>
      </c>
      <c r="D186" s="43">
        <f>C136</f>
        <v>17.750761881228893</v>
      </c>
      <c r="E186" s="4" t="s">
        <v>99</v>
      </c>
      <c r="F186" s="27">
        <f>+E13</f>
        <v>3100</v>
      </c>
    </row>
    <row r="187" spans="1:6" x14ac:dyDescent="0.35">
      <c r="A187" s="45" t="s">
        <v>72</v>
      </c>
      <c r="B187" s="32">
        <f>(B186-D186)*F186</f>
        <v>8670.1115754617585</v>
      </c>
      <c r="C187" s="30" t="s">
        <v>100</v>
      </c>
    </row>
    <row r="188" spans="1:6" x14ac:dyDescent="0.35">
      <c r="A188" s="28" t="s">
        <v>87</v>
      </c>
      <c r="B188" s="43">
        <f>+D129</f>
        <v>21.547572066861719</v>
      </c>
      <c r="C188" s="30" t="s">
        <v>69</v>
      </c>
      <c r="D188" s="43">
        <f>+D136</f>
        <v>24.650761881228895</v>
      </c>
      <c r="E188" s="4" t="s">
        <v>99</v>
      </c>
      <c r="F188" s="27">
        <f>+E14</f>
        <v>18000</v>
      </c>
    </row>
    <row r="189" spans="1:6" x14ac:dyDescent="0.35">
      <c r="A189" s="45" t="s">
        <v>72</v>
      </c>
      <c r="B189" s="32">
        <f>(B188-D188)*F188</f>
        <v>-55857.416658609181</v>
      </c>
      <c r="C189" s="30" t="s">
        <v>101</v>
      </c>
    </row>
    <row r="191" spans="1:6" x14ac:dyDescent="0.35">
      <c r="A191" s="4" t="s">
        <v>102</v>
      </c>
      <c r="B191" s="32">
        <f>B185+B187+B189</f>
        <v>-43203.254154983297</v>
      </c>
      <c r="C191" s="30" t="s">
        <v>101</v>
      </c>
    </row>
    <row r="193" spans="1:6" x14ac:dyDescent="0.35">
      <c r="A193" s="4" t="s">
        <v>105</v>
      </c>
    </row>
    <row r="194" spans="1:6" x14ac:dyDescent="0.35">
      <c r="A194" s="20" t="s">
        <v>122</v>
      </c>
      <c r="B194" s="32">
        <f>B159</f>
        <v>-70000</v>
      </c>
      <c r="C194" s="4" t="s">
        <v>79</v>
      </c>
      <c r="F194" s="32"/>
    </row>
    <row r="195" spans="1:6" x14ac:dyDescent="0.35">
      <c r="A195" s="4" t="s">
        <v>103</v>
      </c>
      <c r="B195" s="32">
        <f>B172</f>
        <v>-127026.25419212328</v>
      </c>
      <c r="C195" s="4" t="s">
        <v>79</v>
      </c>
      <c r="E195" s="32"/>
      <c r="F195" s="27"/>
    </row>
    <row r="196" spans="1:6" x14ac:dyDescent="0.35">
      <c r="A196" s="4" t="s">
        <v>104</v>
      </c>
      <c r="B196" s="32">
        <f>E181</f>
        <v>-2437754.7169811325</v>
      </c>
      <c r="C196" s="4" t="s">
        <v>79</v>
      </c>
      <c r="E196" s="32"/>
      <c r="F196" s="32"/>
    </row>
    <row r="197" spans="1:6" x14ac:dyDescent="0.35">
      <c r="A197" s="4" t="s">
        <v>113</v>
      </c>
      <c r="B197" s="50">
        <f>B191</f>
        <v>-43203.254154983297</v>
      </c>
      <c r="C197" s="4" t="s">
        <v>79</v>
      </c>
      <c r="E197" s="32"/>
    </row>
    <row r="198" spans="1:6" x14ac:dyDescent="0.35">
      <c r="A198" s="4" t="s">
        <v>106</v>
      </c>
      <c r="B198" s="32">
        <f>SUM(B194:B197)</f>
        <v>-2677984.2253282391</v>
      </c>
      <c r="C198" s="4" t="s">
        <v>79</v>
      </c>
      <c r="E198" s="32"/>
    </row>
  </sheetData>
  <mergeCells count="3">
    <mergeCell ref="A1:E1"/>
    <mergeCell ref="A41:E41"/>
    <mergeCell ref="A110:E110"/>
  </mergeCells>
  <pageMargins left="0.70866141732283472" right="0.70866141732283472" top="0.74803149606299213" bottom="0.74803149606299213" header="0.31496062992125984" footer="0.31496062992125984"/>
  <pageSetup paperSize="9" scale="67" fitToHeight="0" orientation="portrait" r:id="rId1"/>
  <rowBreaks count="3" manualBreakCount="3">
    <brk id="56" max="16383" man="1"/>
    <brk id="110" max="16383" man="1"/>
    <brk id="160"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Ecole de Management de Normandie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LACOMBE Isabelle</dc:creator>
  <cp:lastModifiedBy>LACOMBE Isabelle</cp:lastModifiedBy>
  <cp:lastPrinted>2018-04-17T04:15:46Z</cp:lastPrinted>
  <dcterms:created xsi:type="dcterms:W3CDTF">2018-04-16T18:50:35Z</dcterms:created>
  <dcterms:modified xsi:type="dcterms:W3CDTF">2020-01-28T12:21:27Z</dcterms:modified>
</cp:coreProperties>
</file>