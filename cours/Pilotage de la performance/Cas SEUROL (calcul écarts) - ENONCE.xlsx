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lacombe\Documents\4- COURS\Contrôle de gestion\2017-18 M2 Audit Fi Alternants LH\"/>
    </mc:Choice>
  </mc:AlternateContent>
  <bookViews>
    <workbookView xWindow="0" yWindow="0" windowWidth="20490" windowHeight="7620"/>
  </bookViews>
  <sheets>
    <sheet name="Feuil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3" i="1" l="1"/>
  <c r="B133" i="1"/>
  <c r="D133" i="1"/>
  <c r="D126" i="1"/>
  <c r="C126" i="1"/>
  <c r="B126" i="1"/>
  <c r="D78" i="1" l="1"/>
  <c r="C80" i="1" s="1"/>
  <c r="B65" i="1"/>
  <c r="D125" i="1" s="1"/>
  <c r="D76" i="1"/>
  <c r="C118" i="1"/>
  <c r="C119" i="1"/>
  <c r="C117" i="1"/>
  <c r="C71" i="1"/>
  <c r="C72" i="1"/>
  <c r="C70" i="1"/>
  <c r="C60" i="1"/>
  <c r="C114" i="1" s="1"/>
  <c r="C59" i="1"/>
  <c r="C113" i="1" s="1"/>
  <c r="C58" i="1"/>
  <c r="C112" i="1" s="1"/>
  <c r="E80" i="1" l="1"/>
  <c r="F79" i="1"/>
  <c r="E81" i="1" s="1"/>
  <c r="B125" i="1"/>
  <c r="C125" i="1"/>
  <c r="E119" i="1"/>
  <c r="D131" i="1" s="1"/>
  <c r="E118" i="1"/>
  <c r="C131" i="1" s="1"/>
  <c r="E117" i="1"/>
  <c r="B131" i="1" s="1"/>
  <c r="E114" i="1"/>
  <c r="D124" i="1" s="1"/>
  <c r="E113" i="1"/>
  <c r="C124" i="1" s="1"/>
  <c r="E112" i="1"/>
  <c r="B124" i="1" s="1"/>
  <c r="C104" i="1"/>
  <c r="C92" i="1"/>
  <c r="B106" i="1"/>
  <c r="C105" i="1"/>
  <c r="C103" i="1"/>
  <c r="C102" i="1"/>
  <c r="C101" i="1"/>
  <c r="C100" i="1"/>
  <c r="C106" i="1" l="1"/>
  <c r="C93" i="1"/>
  <c r="C91" i="1"/>
  <c r="C90" i="1"/>
  <c r="C89" i="1"/>
  <c r="B94" i="1"/>
  <c r="C88" i="1"/>
  <c r="C73" i="1"/>
  <c r="B76" i="1" s="1"/>
  <c r="B77" i="1" s="1"/>
  <c r="B79" i="1" s="1"/>
  <c r="C81" i="1" s="1"/>
  <c r="D72" i="1"/>
  <c r="D71" i="1"/>
  <c r="D70" i="1"/>
  <c r="D59" i="1"/>
  <c r="D60" i="1"/>
  <c r="D58" i="1"/>
  <c r="C61" i="1"/>
  <c r="D52" i="1"/>
  <c r="C52" i="1"/>
  <c r="B52" i="1"/>
  <c r="E51" i="1"/>
  <c r="E50" i="1"/>
  <c r="E49" i="1"/>
  <c r="E45" i="1"/>
  <c r="E44" i="1"/>
  <c r="D46" i="1"/>
  <c r="E43" i="1"/>
  <c r="B46" i="1"/>
  <c r="D36" i="1"/>
  <c r="D35" i="1"/>
  <c r="C36" i="1"/>
  <c r="C35" i="1"/>
  <c r="B36" i="1"/>
  <c r="B35" i="1"/>
  <c r="D34" i="1"/>
  <c r="C34" i="1"/>
  <c r="B34" i="1"/>
  <c r="D30" i="1"/>
  <c r="C30" i="1"/>
  <c r="B30" i="1"/>
  <c r="D29" i="1"/>
  <c r="C29" i="1"/>
  <c r="B29" i="1"/>
  <c r="D28" i="1"/>
  <c r="C28" i="1"/>
  <c r="B28" i="1"/>
  <c r="D14" i="1"/>
  <c r="C14" i="1"/>
  <c r="B14" i="1"/>
  <c r="E13" i="1"/>
  <c r="E12" i="1"/>
  <c r="E11" i="1"/>
  <c r="C8" i="1"/>
  <c r="D8" i="1"/>
  <c r="B8" i="1"/>
  <c r="E6" i="1"/>
  <c r="E7" i="1"/>
  <c r="E5" i="1"/>
  <c r="C37" i="1" l="1"/>
  <c r="C94" i="1"/>
  <c r="D73" i="1"/>
  <c r="C82" i="1" s="1"/>
  <c r="C83" i="1" s="1"/>
  <c r="D61" i="1"/>
  <c r="E52" i="1"/>
  <c r="C46" i="1"/>
  <c r="E46" i="1" s="1"/>
  <c r="C127" i="1" s="1"/>
  <c r="E29" i="1"/>
  <c r="D37" i="1"/>
  <c r="E34" i="1"/>
  <c r="E30" i="1"/>
  <c r="E36" i="1"/>
  <c r="E35" i="1"/>
  <c r="B37" i="1"/>
  <c r="C31" i="1"/>
  <c r="B31" i="1"/>
  <c r="D31" i="1"/>
  <c r="E28" i="1"/>
  <c r="E14" i="1"/>
  <c r="E8" i="1"/>
  <c r="C132" i="1" l="1"/>
  <c r="D132" i="1"/>
  <c r="B132" i="1"/>
  <c r="D127" i="1"/>
  <c r="B127" i="1"/>
  <c r="E37" i="1"/>
  <c r="E31" i="1"/>
  <c r="C134" i="1" l="1"/>
  <c r="D134" i="1"/>
  <c r="B134" i="1"/>
</calcChain>
</file>

<file path=xl/sharedStrings.xml><?xml version="1.0" encoding="utf-8"?>
<sst xmlns="http://schemas.openxmlformats.org/spreadsheetml/2006/main" count="163" uniqueCount="72">
  <si>
    <t>Janvier</t>
  </si>
  <si>
    <t>Février</t>
  </si>
  <si>
    <t>Mars</t>
  </si>
  <si>
    <t>Total T1</t>
  </si>
  <si>
    <t>Téléphones mobiles</t>
  </si>
  <si>
    <t>Tablettes</t>
  </si>
  <si>
    <t>Enceintes blue tooth</t>
  </si>
  <si>
    <t>Total</t>
  </si>
  <si>
    <t>Ventes en volume = nb unités (budget)</t>
  </si>
  <si>
    <t>Ventes en volume = nb unités (réalisé)</t>
  </si>
  <si>
    <t>Prix unitaires</t>
  </si>
  <si>
    <t>Prévus</t>
  </si>
  <si>
    <t>Réalisé</t>
  </si>
  <si>
    <t>Chiffre d'affaires (budget)</t>
  </si>
  <si>
    <t>Chiffre d'affaires (réalisé)</t>
  </si>
  <si>
    <t>1- Tableaux des ventes :</t>
  </si>
  <si>
    <t>2- Tableaux des prix de ventes :</t>
  </si>
  <si>
    <t>3- Tableaux du chiffre d'affaires :</t>
  </si>
  <si>
    <t xml:space="preserve">L'entreprise SEUROL vend du matériel Hi-Tech. Le directeur commercial est inquiet car le marché est très concurrentiel et les ventes sont inférieures aux objectifs. Si la vente de téléphones mobiles remplit ses promesses et se développe, un problème sur le nouveau modèle de tablette a conduit à un éfondrement des ventes. Heureusement, la vente d'enceintes blue-tooth se porte très bien et le réalisé est meilleur que ce qui avait été budgété.
Si globalement le nombre d'unités vendues est en croissance, les tablettes qui sont un produit très rentable voient leurs ventes s'effondrer et le changement de mix produit va certainement diminuer la rentabilité de la société SEUROL et conduit à revoir le plan de production.
</t>
  </si>
  <si>
    <t>Le niveau de stocks d'enceintes blue tooth était faible et il va falloir relancer la production suite à une rupture de stocks. Cette réallocation des capacités de production a conduit à diminuer la production de tablettes qui aurait nécessité des ajustements pour résoudre les problèmes de qualité.</t>
  </si>
  <si>
    <t>4- Programme de production :</t>
  </si>
  <si>
    <t>Budget de production en nb d'unités</t>
  </si>
  <si>
    <t>production en nb d'unités (réalisé)</t>
  </si>
  <si>
    <t>5- Atelier 1 de production : prévisions de temps de MOD par mois</t>
  </si>
  <si>
    <t>Qté standard de nb heures MOD / unité produit</t>
  </si>
  <si>
    <t>Nb unités produites</t>
  </si>
  <si>
    <t>Nb heures de MOD</t>
  </si>
  <si>
    <t>Coût horaire standard de l'heure de MOD travaillée</t>
  </si>
  <si>
    <t>Salaires mensuels du personnel de l'atelier / nb heures travaillées prévisionnelles</t>
  </si>
  <si>
    <t>6- Atelier 1 de production : temps de MOD réel par mois</t>
  </si>
  <si>
    <t>Qté réelle de nb heures MOD / unité produit</t>
  </si>
  <si>
    <t>Charges indirectes de production</t>
  </si>
  <si>
    <t>7- Charges indirectes de production : budget par mois et par trimestre</t>
  </si>
  <si>
    <t>Prévisions mensuelles</t>
  </si>
  <si>
    <t>Prévisions total 1er trimestre</t>
  </si>
  <si>
    <t>Salaire dirigeants usine</t>
  </si>
  <si>
    <t>Amortissement machines</t>
  </si>
  <si>
    <t>Recherche et développement</t>
  </si>
  <si>
    <t>Loyer batiments</t>
  </si>
  <si>
    <t>Assurances</t>
  </si>
  <si>
    <t>8- Charges indirectes de production : dépenses réelles par mois et par trimestre</t>
  </si>
  <si>
    <t>Dépenses réelles mensuelles</t>
  </si>
  <si>
    <t>Dépenses réelles total 1er trimestre</t>
  </si>
  <si>
    <t>Entretien</t>
  </si>
  <si>
    <t>Le contrôleur de gestion analyse les dépenses de production et indique que :
- les charges suivantes sont fixes : salaire, amortissements, la R&amp;D, le loyer, les assurances.
- les frais d'entretien varient en fonction du nb d'heures machine. La fabrication d'une unité de produit utilise 0,25 h machine (2 500 heures machines sont utilisées chaque mois)</t>
  </si>
  <si>
    <t>9- Quantités de matières premières par produit</t>
  </si>
  <si>
    <t>Prévisions</t>
  </si>
  <si>
    <t>Grammes/ unité</t>
  </si>
  <si>
    <t>Coût du gramme</t>
  </si>
  <si>
    <t>Coût de MP/ unité</t>
  </si>
  <si>
    <t>Réalisations</t>
  </si>
  <si>
    <t>10- Calcul du coût du production standard unitaire</t>
  </si>
  <si>
    <t>Matières premières</t>
  </si>
  <si>
    <t>MOD</t>
  </si>
  <si>
    <t>*</t>
  </si>
  <si>
    <t>=</t>
  </si>
  <si>
    <t>Coût réel de l'heure de MOD = nb unités réelles produites X 0,2 heures par unité</t>
  </si>
  <si>
    <t>heures consommées</t>
  </si>
  <si>
    <t>H</t>
  </si>
  <si>
    <t xml:space="preserve">Il faut donc payer </t>
  </si>
  <si>
    <t>heures supplémentaires payées 50% de plus soit</t>
  </si>
  <si>
    <t>Le coût moyen de l'heure effectivement travaillée est donc de</t>
  </si>
  <si>
    <t>12*1200/1917</t>
  </si>
  <si>
    <t>L'atelier 1 compte 12 ouvriers qui travaillent 160 heures par mois soit</t>
  </si>
  <si>
    <t>+</t>
  </si>
  <si>
    <t>/</t>
  </si>
  <si>
    <t>Questions :</t>
  </si>
  <si>
    <t>Analyser l'écart global de marge sur coût de production en le décomposant en :</t>
  </si>
  <si>
    <t>Ecart sur prix de vente des produits</t>
  </si>
  <si>
    <t>Ecart sur activité</t>
  </si>
  <si>
    <t>Ecart sur mix-produit</t>
  </si>
  <si>
    <t>Ecart sur coût de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</si>
</sst>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 #,##0.00\ &quot;€&quot;_-;\-* #,##0.00\ &quot;€&quot;_-;_-* &quot;-&quot;??\ &quot;€&quot;_-;_-@_-"/>
    <numFmt numFmtId="43" formatCode="_-* #,##0.00\ _€_-;\-* #,##0.00\ _€_-;_-* &quot;-&quot;??\ _€_-;_-@_-"/>
    <numFmt numFmtId="164" formatCode="_-* #,##0\ _€_-;\-* #,##0\ _€_-;_-* &quot;-&quot;??\ _€_-;_-@_-"/>
    <numFmt numFmtId="165" formatCode="_-* #,##0\ &quot;€&quot;_-;\-* #,##0\ &quot;€&quot;_-;_-* &quot;-&quot;??\ &quot;€&quot;_-;_-@_-"/>
    <numFmt numFmtId="166" formatCode="_-* #,##0.0\ _€_-;\-* #,##0.0\ _€_-;_-* &quot;-&quot;??\ _€_-;_-@_-"/>
  </numFmts>
  <fonts count="5"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7">
    <xf numFmtId="0" fontId="0" fillId="0" borderId="0" xfId="0"/>
    <xf numFmtId="0" fontId="0" fillId="2" borderId="1" xfId="0" applyFill="1" applyBorder="1" applyAlignment="1">
      <alignment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vertical="center"/>
    </xf>
    <xf numFmtId="0" fontId="0" fillId="0" borderId="1" xfId="0" applyBorder="1" applyAlignment="1">
      <alignment vertical="center"/>
    </xf>
    <xf numFmtId="164" fontId="0" fillId="0" borderId="1" xfId="1" applyNumberFormat="1" applyFont="1" applyBorder="1" applyAlignment="1">
      <alignment vertical="center"/>
    </xf>
    <xf numFmtId="164" fontId="2" fillId="0" borderId="1" xfId="1" applyNumberFormat="1" applyFont="1" applyBorder="1" applyAlignment="1">
      <alignment vertical="center"/>
    </xf>
    <xf numFmtId="0" fontId="2" fillId="0" borderId="1" xfId="0" applyFont="1" applyBorder="1" applyAlignment="1">
      <alignment horizontal="right" vertical="center"/>
    </xf>
    <xf numFmtId="0" fontId="2" fillId="0" borderId="0" xfId="0" applyFont="1" applyAlignment="1">
      <alignment vertical="center"/>
    </xf>
    <xf numFmtId="0" fontId="3" fillId="0" borderId="0" xfId="0" applyFont="1" applyAlignment="1">
      <alignment vertical="center"/>
    </xf>
    <xf numFmtId="165" fontId="0" fillId="0" borderId="1" xfId="2" applyNumberFormat="1" applyFont="1" applyBorder="1" applyAlignment="1">
      <alignment vertical="center"/>
    </xf>
    <xf numFmtId="165" fontId="2" fillId="0" borderId="1" xfId="2" applyNumberFormat="1" applyFont="1" applyBorder="1" applyAlignment="1">
      <alignment vertical="center"/>
    </xf>
    <xf numFmtId="0" fontId="0" fillId="2" borderId="1" xfId="0" applyFill="1" applyBorder="1" applyAlignment="1">
      <alignment horizontal="center" vertical="center" wrapText="1"/>
    </xf>
    <xf numFmtId="12" fontId="0" fillId="0" borderId="1" xfId="1" applyNumberFormat="1" applyFont="1" applyBorder="1" applyAlignment="1">
      <alignment horizontal="center" vertical="center"/>
    </xf>
    <xf numFmtId="0" fontId="0" fillId="0" borderId="0" xfId="0" quotePrefix="1" applyAlignment="1">
      <alignment vertical="center"/>
    </xf>
    <xf numFmtId="44" fontId="0" fillId="0" borderId="0" xfId="2" applyFont="1" applyAlignment="1">
      <alignment vertical="center"/>
    </xf>
    <xf numFmtId="0" fontId="2" fillId="2" borderId="1" xfId="0" applyFont="1" applyFill="1" applyBorder="1" applyAlignment="1">
      <alignment horizontal="center" vertical="center" wrapText="1"/>
    </xf>
    <xf numFmtId="12" fontId="0" fillId="0" borderId="1" xfId="1" applyNumberFormat="1" applyFont="1" applyBorder="1" applyAlignment="1">
      <alignment vertical="center"/>
    </xf>
    <xf numFmtId="166" fontId="0" fillId="0" borderId="1" xfId="1" applyNumberFormat="1" applyFont="1" applyBorder="1" applyAlignment="1">
      <alignment vertical="center"/>
    </xf>
    <xf numFmtId="0" fontId="0" fillId="0" borderId="0" xfId="0" applyBorder="1" applyAlignment="1">
      <alignment vertical="center"/>
    </xf>
    <xf numFmtId="12" fontId="0" fillId="0" borderId="0" xfId="1" applyNumberFormat="1" applyFont="1" applyBorder="1" applyAlignment="1">
      <alignment vertical="center"/>
    </xf>
    <xf numFmtId="164" fontId="0" fillId="0" borderId="0" xfId="1" applyNumberFormat="1" applyFont="1" applyBorder="1" applyAlignment="1">
      <alignment vertical="center"/>
    </xf>
    <xf numFmtId="164" fontId="0" fillId="0" borderId="0" xfId="0" applyNumberFormat="1" applyAlignment="1">
      <alignment vertical="center"/>
    </xf>
    <xf numFmtId="0" fontId="0" fillId="0" borderId="0" xfId="0" applyAlignment="1">
      <alignment horizontal="right" vertical="center"/>
    </xf>
    <xf numFmtId="0" fontId="0" fillId="0" borderId="0" xfId="0" applyAlignment="1">
      <alignment horizontal="center" vertical="center"/>
    </xf>
    <xf numFmtId="44" fontId="0" fillId="0" borderId="1" xfId="1" applyNumberFormat="1" applyFont="1" applyBorder="1" applyAlignment="1">
      <alignment vertical="center"/>
    </xf>
    <xf numFmtId="12" fontId="0" fillId="0" borderId="0" xfId="0" applyNumberFormat="1" applyAlignment="1">
      <alignment horizontal="left" vertical="center"/>
    </xf>
    <xf numFmtId="0" fontId="0" fillId="0" borderId="0" xfId="0" applyAlignment="1">
      <alignment horizontal="left" vertical="center"/>
    </xf>
    <xf numFmtId="44" fontId="0" fillId="0" borderId="0" xfId="0" applyNumberFormat="1" applyAlignment="1">
      <alignment vertical="center"/>
    </xf>
    <xf numFmtId="44" fontId="0" fillId="0" borderId="0" xfId="0" applyNumberFormat="1" applyAlignment="1">
      <alignment horizontal="center" vertical="center"/>
    </xf>
    <xf numFmtId="0" fontId="0" fillId="0" borderId="0" xfId="0" quotePrefix="1" applyAlignment="1">
      <alignment horizontal="right" vertical="center"/>
    </xf>
    <xf numFmtId="44" fontId="0" fillId="0" borderId="1" xfId="0" applyNumberFormat="1" applyBorder="1" applyAlignment="1">
      <alignment vertical="center"/>
    </xf>
    <xf numFmtId="44" fontId="2" fillId="0" borderId="1" xfId="1" applyNumberFormat="1" applyFont="1" applyBorder="1" applyAlignment="1">
      <alignment vertical="center"/>
    </xf>
    <xf numFmtId="0" fontId="4" fillId="0" borderId="0" xfId="0" applyFont="1" applyAlignment="1">
      <alignment vertical="center"/>
    </xf>
    <xf numFmtId="0" fontId="0" fillId="0" borderId="0" xfId="0" applyAlignment="1">
      <alignment horizontal="left" vertical="center" wrapText="1"/>
    </xf>
    <xf numFmtId="0" fontId="0" fillId="0" borderId="0" xfId="0" applyAlignment="1">
      <alignment horizontal="left" vertical="top" wrapText="1"/>
    </xf>
  </cellXfs>
  <cellStyles count="3">
    <cellStyle name="Milliers" xfId="1" builtinId="3"/>
    <cellStyle name="Monétaire"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1"/>
  <sheetViews>
    <sheetView tabSelected="1" topLeftCell="A121" zoomScale="115" zoomScaleNormal="115" workbookViewId="0">
      <selection activeCell="C134" sqref="C134"/>
    </sheetView>
  </sheetViews>
  <sheetFormatPr baseColWidth="10" defaultRowHeight="15" x14ac:dyDescent="0.25"/>
  <cols>
    <col min="1" max="1" width="39.5703125" style="4" customWidth="1"/>
    <col min="2" max="4" width="15.7109375" style="4" customWidth="1"/>
    <col min="5" max="5" width="18.42578125" style="4" customWidth="1"/>
    <col min="6" max="6" width="13.140625" style="4" customWidth="1"/>
    <col min="7" max="16384" width="11.42578125" style="4"/>
  </cols>
  <sheetData>
    <row r="1" spans="1:5" ht="135.75" customHeight="1" x14ac:dyDescent="0.25">
      <c r="A1" s="35" t="s">
        <v>18</v>
      </c>
      <c r="B1" s="35"/>
      <c r="C1" s="35"/>
      <c r="D1" s="35"/>
      <c r="E1" s="35"/>
    </row>
    <row r="2" spans="1:5" x14ac:dyDescent="0.25">
      <c r="A2" s="10" t="s">
        <v>15</v>
      </c>
    </row>
    <row r="4" spans="1:5" ht="22.5" customHeight="1" x14ac:dyDescent="0.25">
      <c r="A4" s="1" t="s">
        <v>8</v>
      </c>
      <c r="B4" s="2" t="s">
        <v>0</v>
      </c>
      <c r="C4" s="2" t="s">
        <v>1</v>
      </c>
      <c r="D4" s="2" t="s">
        <v>2</v>
      </c>
      <c r="E4" s="3" t="s">
        <v>3</v>
      </c>
    </row>
    <row r="5" spans="1:5" ht="22.5" customHeight="1" x14ac:dyDescent="0.25">
      <c r="A5" s="5" t="s">
        <v>4</v>
      </c>
      <c r="B5" s="6">
        <v>1000</v>
      </c>
      <c r="C5" s="6">
        <v>2000</v>
      </c>
      <c r="D5" s="6">
        <v>2000</v>
      </c>
      <c r="E5" s="7">
        <f>SUM(B5:D5)</f>
        <v>5000</v>
      </c>
    </row>
    <row r="6" spans="1:5" ht="22.5" customHeight="1" x14ac:dyDescent="0.25">
      <c r="A6" s="5" t="s">
        <v>5</v>
      </c>
      <c r="B6" s="6">
        <v>4000</v>
      </c>
      <c r="C6" s="6">
        <v>2000</v>
      </c>
      <c r="D6" s="6">
        <v>500</v>
      </c>
      <c r="E6" s="7">
        <f t="shared" ref="E6:E8" si="0">SUM(B6:D6)</f>
        <v>6500</v>
      </c>
    </row>
    <row r="7" spans="1:5" ht="22.5" customHeight="1" x14ac:dyDescent="0.25">
      <c r="A7" s="5" t="s">
        <v>6</v>
      </c>
      <c r="B7" s="6">
        <v>5000</v>
      </c>
      <c r="C7" s="6">
        <v>5000</v>
      </c>
      <c r="D7" s="6">
        <v>5000</v>
      </c>
      <c r="E7" s="7">
        <f t="shared" si="0"/>
        <v>15000</v>
      </c>
    </row>
    <row r="8" spans="1:5" ht="22.5" customHeight="1" x14ac:dyDescent="0.25">
      <c r="A8" s="8" t="s">
        <v>7</v>
      </c>
      <c r="B8" s="7">
        <f>SUM(B5:B7)</f>
        <v>10000</v>
      </c>
      <c r="C8" s="7">
        <f t="shared" ref="C8:D8" si="1">SUM(C5:C7)</f>
        <v>9000</v>
      </c>
      <c r="D8" s="7">
        <f t="shared" si="1"/>
        <v>7500</v>
      </c>
      <c r="E8" s="7">
        <f t="shared" si="0"/>
        <v>26500</v>
      </c>
    </row>
    <row r="10" spans="1:5" ht="24" customHeight="1" x14ac:dyDescent="0.25">
      <c r="A10" s="1" t="s">
        <v>9</v>
      </c>
      <c r="B10" s="2" t="s">
        <v>0</v>
      </c>
      <c r="C10" s="2" t="s">
        <v>1</v>
      </c>
      <c r="D10" s="2" t="s">
        <v>2</v>
      </c>
      <c r="E10" s="3" t="s">
        <v>3</v>
      </c>
    </row>
    <row r="11" spans="1:5" ht="24" customHeight="1" x14ac:dyDescent="0.25">
      <c r="A11" s="5" t="s">
        <v>4</v>
      </c>
      <c r="B11" s="6">
        <v>1000</v>
      </c>
      <c r="C11" s="6">
        <v>2000</v>
      </c>
      <c r="D11" s="6">
        <v>2000</v>
      </c>
      <c r="E11" s="7">
        <f>SUM(B11:D11)</f>
        <v>5000</v>
      </c>
    </row>
    <row r="12" spans="1:5" ht="24" customHeight="1" x14ac:dyDescent="0.25">
      <c r="A12" s="5" t="s">
        <v>5</v>
      </c>
      <c r="B12" s="6">
        <v>2200</v>
      </c>
      <c r="C12" s="6">
        <v>800</v>
      </c>
      <c r="D12" s="6">
        <v>100</v>
      </c>
      <c r="E12" s="7">
        <f t="shared" ref="E12:E14" si="2">SUM(B12:D12)</f>
        <v>3100</v>
      </c>
    </row>
    <row r="13" spans="1:5" ht="24" customHeight="1" x14ac:dyDescent="0.25">
      <c r="A13" s="5" t="s">
        <v>6</v>
      </c>
      <c r="B13" s="6">
        <v>5500</v>
      </c>
      <c r="C13" s="6">
        <v>6000</v>
      </c>
      <c r="D13" s="6">
        <v>6500</v>
      </c>
      <c r="E13" s="7">
        <f t="shared" si="2"/>
        <v>18000</v>
      </c>
    </row>
    <row r="14" spans="1:5" ht="24" customHeight="1" x14ac:dyDescent="0.25">
      <c r="A14" s="8" t="s">
        <v>7</v>
      </c>
      <c r="B14" s="7">
        <f>SUM(B11:B13)</f>
        <v>8700</v>
      </c>
      <c r="C14" s="7">
        <f t="shared" ref="C14" si="3">SUM(C11:C13)</f>
        <v>8800</v>
      </c>
      <c r="D14" s="7">
        <f t="shared" ref="D14" si="4">SUM(D11:D13)</f>
        <v>8600</v>
      </c>
      <c r="E14" s="7">
        <f t="shared" si="2"/>
        <v>26100</v>
      </c>
    </row>
    <row r="17" spans="1:5" x14ac:dyDescent="0.25">
      <c r="A17" s="10" t="s">
        <v>16</v>
      </c>
    </row>
    <row r="19" spans="1:5" x14ac:dyDescent="0.25">
      <c r="A19" s="1" t="s">
        <v>10</v>
      </c>
      <c r="B19" s="2" t="s">
        <v>11</v>
      </c>
      <c r="C19" s="2" t="s">
        <v>12</v>
      </c>
    </row>
    <row r="20" spans="1:5" x14ac:dyDescent="0.25">
      <c r="A20" s="5" t="s">
        <v>4</v>
      </c>
      <c r="B20" s="11">
        <v>600</v>
      </c>
      <c r="C20" s="11">
        <v>550</v>
      </c>
    </row>
    <row r="21" spans="1:5" x14ac:dyDescent="0.25">
      <c r="A21" s="5" t="s">
        <v>5</v>
      </c>
      <c r="B21" s="11">
        <v>800</v>
      </c>
      <c r="C21" s="11">
        <v>800</v>
      </c>
    </row>
    <row r="22" spans="1:5" x14ac:dyDescent="0.25">
      <c r="A22" s="5" t="s">
        <v>6</v>
      </c>
      <c r="B22" s="11">
        <v>50</v>
      </c>
      <c r="C22" s="11">
        <v>60</v>
      </c>
    </row>
    <row r="25" spans="1:5" x14ac:dyDescent="0.25">
      <c r="A25" s="10" t="s">
        <v>17</v>
      </c>
    </row>
    <row r="27" spans="1:5" x14ac:dyDescent="0.25">
      <c r="A27" s="1" t="s">
        <v>13</v>
      </c>
      <c r="B27" s="2" t="s">
        <v>0</v>
      </c>
      <c r="C27" s="2" t="s">
        <v>1</v>
      </c>
      <c r="D27" s="2" t="s">
        <v>2</v>
      </c>
      <c r="E27" s="3" t="s">
        <v>3</v>
      </c>
    </row>
    <row r="28" spans="1:5" x14ac:dyDescent="0.25">
      <c r="A28" s="5" t="s">
        <v>4</v>
      </c>
      <c r="B28" s="11">
        <f>B5*$B$20</f>
        <v>600000</v>
      </c>
      <c r="C28" s="11">
        <f>C5*$B$20</f>
        <v>1200000</v>
      </c>
      <c r="D28" s="11">
        <f>D5*$B$20</f>
        <v>1200000</v>
      </c>
      <c r="E28" s="12">
        <f>SUM(B28:D28)</f>
        <v>3000000</v>
      </c>
    </row>
    <row r="29" spans="1:5" x14ac:dyDescent="0.25">
      <c r="A29" s="5" t="s">
        <v>5</v>
      </c>
      <c r="B29" s="11">
        <f>B6*$B$21</f>
        <v>3200000</v>
      </c>
      <c r="C29" s="11">
        <f>C6*$B$21</f>
        <v>1600000</v>
      </c>
      <c r="D29" s="11">
        <f>D6*$B$21</f>
        <v>400000</v>
      </c>
      <c r="E29" s="12">
        <f t="shared" ref="E29:E31" si="5">SUM(B29:D29)</f>
        <v>5200000</v>
      </c>
    </row>
    <row r="30" spans="1:5" x14ac:dyDescent="0.25">
      <c r="A30" s="5" t="s">
        <v>6</v>
      </c>
      <c r="B30" s="11">
        <f>B7*$B$22</f>
        <v>250000</v>
      </c>
      <c r="C30" s="11">
        <f>C7*$B$22</f>
        <v>250000</v>
      </c>
      <c r="D30" s="11">
        <f>D7*$B$22</f>
        <v>250000</v>
      </c>
      <c r="E30" s="12">
        <f t="shared" si="5"/>
        <v>750000</v>
      </c>
    </row>
    <row r="31" spans="1:5" x14ac:dyDescent="0.25">
      <c r="A31" s="8" t="s">
        <v>7</v>
      </c>
      <c r="B31" s="12">
        <f>SUM(B28:B30)</f>
        <v>4050000</v>
      </c>
      <c r="C31" s="12">
        <f t="shared" ref="C31" si="6">SUM(C28:C30)</f>
        <v>3050000</v>
      </c>
      <c r="D31" s="12">
        <f t="shared" ref="D31" si="7">SUM(D28:D30)</f>
        <v>1850000</v>
      </c>
      <c r="E31" s="12">
        <f t="shared" si="5"/>
        <v>8950000</v>
      </c>
    </row>
    <row r="33" spans="1:5" x14ac:dyDescent="0.25">
      <c r="A33" s="1" t="s">
        <v>14</v>
      </c>
      <c r="B33" s="2" t="s">
        <v>0</v>
      </c>
      <c r="C33" s="2" t="s">
        <v>1</v>
      </c>
      <c r="D33" s="2" t="s">
        <v>2</v>
      </c>
      <c r="E33" s="3" t="s">
        <v>3</v>
      </c>
    </row>
    <row r="34" spans="1:5" x14ac:dyDescent="0.25">
      <c r="A34" s="5" t="s">
        <v>4</v>
      </c>
      <c r="B34" s="11">
        <f>+B11*$C$20</f>
        <v>550000</v>
      </c>
      <c r="C34" s="11">
        <f>+C11*$C$20</f>
        <v>1100000</v>
      </c>
      <c r="D34" s="11">
        <f>+D11*$C$20</f>
        <v>1100000</v>
      </c>
      <c r="E34" s="12">
        <f>SUM(B34:D34)</f>
        <v>2750000</v>
      </c>
    </row>
    <row r="35" spans="1:5" x14ac:dyDescent="0.25">
      <c r="A35" s="5" t="s">
        <v>5</v>
      </c>
      <c r="B35" s="11">
        <f>+B12*$C$21</f>
        <v>1760000</v>
      </c>
      <c r="C35" s="11">
        <f>+C12*$C$21</f>
        <v>640000</v>
      </c>
      <c r="D35" s="11">
        <f>+D12*$C$21</f>
        <v>80000</v>
      </c>
      <c r="E35" s="12">
        <f t="shared" ref="E35:E37" si="8">SUM(B35:D35)</f>
        <v>2480000</v>
      </c>
    </row>
    <row r="36" spans="1:5" x14ac:dyDescent="0.25">
      <c r="A36" s="5" t="s">
        <v>6</v>
      </c>
      <c r="B36" s="11">
        <f>+B13*$C$22</f>
        <v>330000</v>
      </c>
      <c r="C36" s="11">
        <f>+C13*$C$22</f>
        <v>360000</v>
      </c>
      <c r="D36" s="11">
        <f>+D13*$C$22</f>
        <v>390000</v>
      </c>
      <c r="E36" s="12">
        <f t="shared" si="8"/>
        <v>1080000</v>
      </c>
    </row>
    <row r="37" spans="1:5" x14ac:dyDescent="0.25">
      <c r="A37" s="8" t="s">
        <v>7</v>
      </c>
      <c r="B37" s="12">
        <f>SUM(B34:B36)</f>
        <v>2640000</v>
      </c>
      <c r="C37" s="12">
        <f t="shared" ref="C37" si="9">SUM(C34:C36)</f>
        <v>2100000</v>
      </c>
      <c r="D37" s="12">
        <f t="shared" ref="D37" si="10">SUM(D34:D36)</f>
        <v>1570000</v>
      </c>
      <c r="E37" s="12">
        <f t="shared" si="8"/>
        <v>6310000</v>
      </c>
    </row>
    <row r="39" spans="1:5" ht="57" customHeight="1" x14ac:dyDescent="0.25">
      <c r="A39" s="36" t="s">
        <v>19</v>
      </c>
      <c r="B39" s="36"/>
      <c r="C39" s="36"/>
      <c r="D39" s="36"/>
      <c r="E39" s="36"/>
    </row>
    <row r="40" spans="1:5" x14ac:dyDescent="0.25">
      <c r="A40" s="10" t="s">
        <v>20</v>
      </c>
    </row>
    <row r="42" spans="1:5" x14ac:dyDescent="0.25">
      <c r="A42" s="1" t="s">
        <v>21</v>
      </c>
      <c r="B42" s="2" t="s">
        <v>0</v>
      </c>
      <c r="C42" s="2" t="s">
        <v>1</v>
      </c>
      <c r="D42" s="2" t="s">
        <v>2</v>
      </c>
      <c r="E42" s="3" t="s">
        <v>3</v>
      </c>
    </row>
    <row r="43" spans="1:5" x14ac:dyDescent="0.25">
      <c r="A43" s="5" t="s">
        <v>4</v>
      </c>
      <c r="B43" s="6">
        <v>5000</v>
      </c>
      <c r="C43" s="6">
        <v>5000</v>
      </c>
      <c r="D43" s="6">
        <v>5000</v>
      </c>
      <c r="E43" s="7">
        <f>SUM(B43:D43)</f>
        <v>15000</v>
      </c>
    </row>
    <row r="44" spans="1:5" x14ac:dyDescent="0.25">
      <c r="A44" s="5" t="s">
        <v>5</v>
      </c>
      <c r="B44" s="6">
        <v>500</v>
      </c>
      <c r="C44" s="6">
        <v>500</v>
      </c>
      <c r="D44" s="6">
        <v>500</v>
      </c>
      <c r="E44" s="7">
        <f t="shared" ref="E44:E46" si="11">SUM(B44:D44)</f>
        <v>1500</v>
      </c>
    </row>
    <row r="45" spans="1:5" x14ac:dyDescent="0.25">
      <c r="A45" s="5" t="s">
        <v>6</v>
      </c>
      <c r="B45" s="6">
        <v>6000</v>
      </c>
      <c r="C45" s="6">
        <v>6000</v>
      </c>
      <c r="D45" s="6">
        <v>6000</v>
      </c>
      <c r="E45" s="7">
        <f t="shared" si="11"/>
        <v>18000</v>
      </c>
    </row>
    <row r="46" spans="1:5" x14ac:dyDescent="0.25">
      <c r="A46" s="8" t="s">
        <v>7</v>
      </c>
      <c r="B46" s="7">
        <f>SUM(B43:B45)</f>
        <v>11500</v>
      </c>
      <c r="C46" s="7">
        <f t="shared" ref="C46" si="12">SUM(C43:C45)</f>
        <v>11500</v>
      </c>
      <c r="D46" s="7">
        <f t="shared" ref="D46" si="13">SUM(D43:D45)</f>
        <v>11500</v>
      </c>
      <c r="E46" s="7">
        <f t="shared" si="11"/>
        <v>34500</v>
      </c>
    </row>
    <row r="48" spans="1:5" x14ac:dyDescent="0.25">
      <c r="A48" s="1" t="s">
        <v>22</v>
      </c>
      <c r="B48" s="2" t="s">
        <v>0</v>
      </c>
      <c r="C48" s="2" t="s">
        <v>1</v>
      </c>
      <c r="D48" s="2" t="s">
        <v>2</v>
      </c>
      <c r="E48" s="3" t="s">
        <v>3</v>
      </c>
    </row>
    <row r="49" spans="1:5" x14ac:dyDescent="0.25">
      <c r="A49" s="5" t="s">
        <v>4</v>
      </c>
      <c r="B49" s="6">
        <v>5000</v>
      </c>
      <c r="C49" s="6">
        <v>5000</v>
      </c>
      <c r="D49" s="6">
        <v>5000</v>
      </c>
      <c r="E49" s="7">
        <f>SUM(B49:D49)</f>
        <v>15000</v>
      </c>
    </row>
    <row r="50" spans="1:5" x14ac:dyDescent="0.25">
      <c r="A50" s="5" t="s">
        <v>5</v>
      </c>
      <c r="B50" s="6">
        <v>200</v>
      </c>
      <c r="C50" s="6">
        <v>200</v>
      </c>
      <c r="D50" s="6">
        <v>200</v>
      </c>
      <c r="E50" s="7">
        <f t="shared" ref="E50:E52" si="14">SUM(B50:D50)</f>
        <v>600</v>
      </c>
    </row>
    <row r="51" spans="1:5" x14ac:dyDescent="0.25">
      <c r="A51" s="5" t="s">
        <v>6</v>
      </c>
      <c r="B51" s="6">
        <v>6200</v>
      </c>
      <c r="C51" s="6">
        <v>6200</v>
      </c>
      <c r="D51" s="6">
        <v>6200</v>
      </c>
      <c r="E51" s="7">
        <f t="shared" si="14"/>
        <v>18600</v>
      </c>
    </row>
    <row r="52" spans="1:5" x14ac:dyDescent="0.25">
      <c r="A52" s="8" t="s">
        <v>7</v>
      </c>
      <c r="B52" s="7">
        <f>SUM(B49:B51)</f>
        <v>11400</v>
      </c>
      <c r="C52" s="7">
        <f t="shared" ref="C52" si="15">SUM(C49:C51)</f>
        <v>11400</v>
      </c>
      <c r="D52" s="7">
        <f t="shared" ref="D52" si="16">SUM(D49:D51)</f>
        <v>11400</v>
      </c>
      <c r="E52" s="7">
        <f t="shared" si="14"/>
        <v>34200</v>
      </c>
    </row>
    <row r="55" spans="1:5" x14ac:dyDescent="0.25">
      <c r="A55" s="10" t="s">
        <v>23</v>
      </c>
    </row>
    <row r="57" spans="1:5" ht="45" x14ac:dyDescent="0.25">
      <c r="A57" s="1"/>
      <c r="B57" s="13" t="s">
        <v>24</v>
      </c>
      <c r="C57" s="13" t="s">
        <v>25</v>
      </c>
      <c r="D57" s="13" t="s">
        <v>26</v>
      </c>
    </row>
    <row r="58" spans="1:5" x14ac:dyDescent="0.25">
      <c r="A58" s="5" t="s">
        <v>4</v>
      </c>
      <c r="B58" s="14">
        <v>0.16666666666666666</v>
      </c>
      <c r="C58" s="6">
        <f>B43</f>
        <v>5000</v>
      </c>
      <c r="D58" s="6">
        <f>B58*C58</f>
        <v>833.33333333333326</v>
      </c>
    </row>
    <row r="59" spans="1:5" x14ac:dyDescent="0.25">
      <c r="A59" s="5" t="s">
        <v>5</v>
      </c>
      <c r="B59" s="14">
        <v>0.16666666666666666</v>
      </c>
      <c r="C59" s="6">
        <f>B44</f>
        <v>500</v>
      </c>
      <c r="D59" s="6">
        <f t="shared" ref="D59:D60" si="17">B59*C59</f>
        <v>83.333333333333329</v>
      </c>
    </row>
    <row r="60" spans="1:5" x14ac:dyDescent="0.25">
      <c r="A60" s="5" t="s">
        <v>6</v>
      </c>
      <c r="B60" s="14">
        <v>0.16666666666666666</v>
      </c>
      <c r="C60" s="6">
        <f>B45</f>
        <v>6000</v>
      </c>
      <c r="D60" s="6">
        <f t="shared" si="17"/>
        <v>1000</v>
      </c>
    </row>
    <row r="61" spans="1:5" x14ac:dyDescent="0.25">
      <c r="A61" s="8" t="s">
        <v>7</v>
      </c>
      <c r="B61" s="7"/>
      <c r="C61" s="7">
        <f t="shared" ref="C61" si="18">SUM(C58:C60)</f>
        <v>11500</v>
      </c>
      <c r="D61" s="7">
        <f t="shared" ref="D61" si="19">SUM(D58:D60)</f>
        <v>1916.6666666666665</v>
      </c>
    </row>
    <row r="63" spans="1:5" x14ac:dyDescent="0.25">
      <c r="A63" s="4" t="s">
        <v>27</v>
      </c>
    </row>
    <row r="64" spans="1:5" x14ac:dyDescent="0.25">
      <c r="A64" s="4" t="s">
        <v>28</v>
      </c>
    </row>
    <row r="65" spans="1:6" x14ac:dyDescent="0.25">
      <c r="A65" s="15" t="s">
        <v>62</v>
      </c>
      <c r="B65" s="16">
        <f>14*1200/1917</f>
        <v>8.7636932707355246</v>
      </c>
    </row>
    <row r="67" spans="1:6" x14ac:dyDescent="0.25">
      <c r="A67" s="10" t="s">
        <v>29</v>
      </c>
    </row>
    <row r="69" spans="1:6" ht="45" x14ac:dyDescent="0.25">
      <c r="A69" s="1"/>
      <c r="B69" s="13" t="s">
        <v>30</v>
      </c>
      <c r="C69" s="13" t="s">
        <v>25</v>
      </c>
      <c r="D69" s="13" t="s">
        <v>26</v>
      </c>
    </row>
    <row r="70" spans="1:6" x14ac:dyDescent="0.25">
      <c r="A70" s="5" t="s">
        <v>4</v>
      </c>
      <c r="B70" s="14">
        <v>0.2</v>
      </c>
      <c r="C70" s="6">
        <f>C49</f>
        <v>5000</v>
      </c>
      <c r="D70" s="6">
        <f>B70*C70</f>
        <v>1000</v>
      </c>
    </row>
    <row r="71" spans="1:6" x14ac:dyDescent="0.25">
      <c r="A71" s="5" t="s">
        <v>5</v>
      </c>
      <c r="B71" s="14">
        <v>0.2</v>
      </c>
      <c r="C71" s="6">
        <f t="shared" ref="C71:C72" si="20">C50</f>
        <v>200</v>
      </c>
      <c r="D71" s="6">
        <f t="shared" ref="D71:D72" si="21">B71*C71</f>
        <v>40</v>
      </c>
    </row>
    <row r="72" spans="1:6" x14ac:dyDescent="0.25">
      <c r="A72" s="5" t="s">
        <v>6</v>
      </c>
      <c r="B72" s="14">
        <v>0.2</v>
      </c>
      <c r="C72" s="6">
        <f t="shared" si="20"/>
        <v>6200</v>
      </c>
      <c r="D72" s="6">
        <f t="shared" si="21"/>
        <v>1240</v>
      </c>
    </row>
    <row r="73" spans="1:6" x14ac:dyDescent="0.25">
      <c r="A73" s="8" t="s">
        <v>7</v>
      </c>
      <c r="B73" s="7"/>
      <c r="C73" s="7">
        <f t="shared" ref="C73" si="22">SUM(C70:C72)</f>
        <v>11400</v>
      </c>
      <c r="D73" s="7">
        <f t="shared" ref="D73" si="23">SUM(D70:D72)</f>
        <v>2280</v>
      </c>
    </row>
    <row r="74" spans="1:6" ht="15.75" customHeight="1" x14ac:dyDescent="0.25"/>
    <row r="75" spans="1:6" ht="15.75" customHeight="1" x14ac:dyDescent="0.25">
      <c r="A75" s="4" t="s">
        <v>56</v>
      </c>
    </row>
    <row r="76" spans="1:6" ht="15.75" customHeight="1" x14ac:dyDescent="0.25">
      <c r="A76" s="24" t="s">
        <v>55</v>
      </c>
      <c r="B76" s="23">
        <f>C73</f>
        <v>11400</v>
      </c>
      <c r="C76" s="25" t="s">
        <v>54</v>
      </c>
      <c r="D76" s="27">
        <f>B71</f>
        <v>0.2</v>
      </c>
    </row>
    <row r="77" spans="1:6" ht="15.75" customHeight="1" x14ac:dyDescent="0.25">
      <c r="A77" s="24" t="s">
        <v>55</v>
      </c>
      <c r="B77" s="23">
        <f>B76*D76</f>
        <v>2280</v>
      </c>
      <c r="C77" s="4" t="s">
        <v>57</v>
      </c>
    </row>
    <row r="78" spans="1:6" ht="15.75" customHeight="1" x14ac:dyDescent="0.25">
      <c r="A78" s="4" t="s">
        <v>63</v>
      </c>
      <c r="D78" s="28">
        <f>12*160</f>
        <v>1920</v>
      </c>
      <c r="E78" s="4" t="s">
        <v>58</v>
      </c>
    </row>
    <row r="79" spans="1:6" ht="15.75" customHeight="1" x14ac:dyDescent="0.25">
      <c r="A79" s="4" t="s">
        <v>59</v>
      </c>
      <c r="B79" s="23">
        <f>B77-D78</f>
        <v>360</v>
      </c>
      <c r="C79" s="4" t="s">
        <v>60</v>
      </c>
      <c r="F79" s="29">
        <f>B65*1.5</f>
        <v>13.145539906103288</v>
      </c>
    </row>
    <row r="80" spans="1:6" ht="15.75" customHeight="1" x14ac:dyDescent="0.25">
      <c r="A80" s="4" t="s">
        <v>61</v>
      </c>
      <c r="C80" s="23">
        <f>+D78</f>
        <v>1920</v>
      </c>
      <c r="D80" s="25" t="s">
        <v>54</v>
      </c>
      <c r="E80" s="30">
        <f>B65</f>
        <v>8.7636932707355246</v>
      </c>
    </row>
    <row r="81" spans="1:5" ht="15.75" customHeight="1" x14ac:dyDescent="0.25">
      <c r="B81" s="24" t="s">
        <v>64</v>
      </c>
      <c r="C81" s="23">
        <f>B79</f>
        <v>360</v>
      </c>
      <c r="D81" s="25" t="s">
        <v>54</v>
      </c>
      <c r="E81" s="29">
        <f>F79</f>
        <v>13.145539906103288</v>
      </c>
    </row>
    <row r="82" spans="1:5" ht="15.75" customHeight="1" x14ac:dyDescent="0.25">
      <c r="B82" s="31" t="s">
        <v>65</v>
      </c>
      <c r="C82" s="23">
        <f>D73</f>
        <v>2280</v>
      </c>
    </row>
    <row r="83" spans="1:5" ht="15.75" customHeight="1" x14ac:dyDescent="0.25">
      <c r="B83" s="24" t="s">
        <v>55</v>
      </c>
      <c r="C83" s="16">
        <f>((C80*E80)+(C81*E81))/C82</f>
        <v>9.4555637921093805</v>
      </c>
    </row>
    <row r="85" spans="1:5" x14ac:dyDescent="0.25">
      <c r="A85" s="10" t="s">
        <v>32</v>
      </c>
    </row>
    <row r="87" spans="1:5" ht="30" x14ac:dyDescent="0.25">
      <c r="A87" s="1" t="s">
        <v>31</v>
      </c>
      <c r="B87" s="17" t="s">
        <v>33</v>
      </c>
      <c r="C87" s="17" t="s">
        <v>34</v>
      </c>
    </row>
    <row r="88" spans="1:5" ht="19.5" customHeight="1" x14ac:dyDescent="0.25">
      <c r="A88" s="5" t="s">
        <v>35</v>
      </c>
      <c r="B88" s="11">
        <v>10000</v>
      </c>
      <c r="C88" s="11">
        <f>+B88*3</f>
        <v>30000</v>
      </c>
    </row>
    <row r="89" spans="1:5" ht="19.5" customHeight="1" x14ac:dyDescent="0.25">
      <c r="A89" s="5" t="s">
        <v>36</v>
      </c>
      <c r="B89" s="11">
        <v>15000</v>
      </c>
      <c r="C89" s="11">
        <f t="shared" ref="C89:C93" si="24">+B89*3</f>
        <v>45000</v>
      </c>
    </row>
    <row r="90" spans="1:5" ht="19.5" customHeight="1" x14ac:dyDescent="0.25">
      <c r="A90" s="5" t="s">
        <v>37</v>
      </c>
      <c r="B90" s="11">
        <v>5000</v>
      </c>
      <c r="C90" s="11">
        <f t="shared" si="24"/>
        <v>15000</v>
      </c>
    </row>
    <row r="91" spans="1:5" ht="19.5" customHeight="1" x14ac:dyDescent="0.25">
      <c r="A91" s="5" t="s">
        <v>38</v>
      </c>
      <c r="B91" s="11">
        <v>10000</v>
      </c>
      <c r="C91" s="11">
        <f t="shared" si="24"/>
        <v>30000</v>
      </c>
    </row>
    <row r="92" spans="1:5" ht="19.5" customHeight="1" x14ac:dyDescent="0.25">
      <c r="A92" s="5" t="s">
        <v>43</v>
      </c>
      <c r="B92" s="11">
        <v>5000</v>
      </c>
      <c r="C92" s="11">
        <f t="shared" si="24"/>
        <v>15000</v>
      </c>
    </row>
    <row r="93" spans="1:5" ht="19.5" customHeight="1" x14ac:dyDescent="0.25">
      <c r="A93" s="5" t="s">
        <v>39</v>
      </c>
      <c r="B93" s="11">
        <v>2000</v>
      </c>
      <c r="C93" s="11">
        <f t="shared" si="24"/>
        <v>6000</v>
      </c>
    </row>
    <row r="94" spans="1:5" ht="19.5" customHeight="1" x14ac:dyDescent="0.25">
      <c r="A94" s="8" t="s">
        <v>7</v>
      </c>
      <c r="B94" s="12">
        <f>SUM(B88:B93)</f>
        <v>47000</v>
      </c>
      <c r="C94" s="12">
        <f>SUM(C88:C93)</f>
        <v>141000</v>
      </c>
    </row>
    <row r="95" spans="1:5" x14ac:dyDescent="0.25">
      <c r="B95" s="9"/>
      <c r="C95" s="9"/>
    </row>
    <row r="97" spans="1:5" x14ac:dyDescent="0.25">
      <c r="A97" s="10" t="s">
        <v>40</v>
      </c>
    </row>
    <row r="99" spans="1:5" ht="45" x14ac:dyDescent="0.25">
      <c r="A99" s="1" t="s">
        <v>31</v>
      </c>
      <c r="B99" s="17" t="s">
        <v>41</v>
      </c>
      <c r="C99" s="17" t="s">
        <v>42</v>
      </c>
    </row>
    <row r="100" spans="1:5" x14ac:dyDescent="0.25">
      <c r="A100" s="5" t="s">
        <v>35</v>
      </c>
      <c r="B100" s="11">
        <v>10000</v>
      </c>
      <c r="C100" s="11">
        <f>+B100*3</f>
        <v>30000</v>
      </c>
    </row>
    <row r="101" spans="1:5" x14ac:dyDescent="0.25">
      <c r="A101" s="5" t="s">
        <v>36</v>
      </c>
      <c r="B101" s="11">
        <v>15000</v>
      </c>
      <c r="C101" s="11">
        <f t="shared" ref="C101:C105" si="25">+B101*3</f>
        <v>45000</v>
      </c>
    </row>
    <row r="102" spans="1:5" x14ac:dyDescent="0.25">
      <c r="A102" s="5" t="s">
        <v>37</v>
      </c>
      <c r="B102" s="11">
        <v>4000</v>
      </c>
      <c r="C102" s="11">
        <f t="shared" si="25"/>
        <v>12000</v>
      </c>
    </row>
    <row r="103" spans="1:5" x14ac:dyDescent="0.25">
      <c r="A103" s="5" t="s">
        <v>38</v>
      </c>
      <c r="B103" s="11">
        <v>10000</v>
      </c>
      <c r="C103" s="11">
        <f t="shared" si="25"/>
        <v>30000</v>
      </c>
    </row>
    <row r="104" spans="1:5" x14ac:dyDescent="0.25">
      <c r="A104" s="5" t="s">
        <v>43</v>
      </c>
      <c r="B104" s="11">
        <v>3000</v>
      </c>
      <c r="C104" s="11">
        <f t="shared" si="25"/>
        <v>9000</v>
      </c>
    </row>
    <row r="105" spans="1:5" x14ac:dyDescent="0.25">
      <c r="A105" s="5" t="s">
        <v>39</v>
      </c>
      <c r="B105" s="11">
        <v>2000</v>
      </c>
      <c r="C105" s="11">
        <f t="shared" si="25"/>
        <v>6000</v>
      </c>
    </row>
    <row r="106" spans="1:5" x14ac:dyDescent="0.25">
      <c r="A106" s="8" t="s">
        <v>7</v>
      </c>
      <c r="B106" s="12">
        <f>SUM(B100:B105)</f>
        <v>44000</v>
      </c>
      <c r="C106" s="12">
        <f>SUM(C100:C105)</f>
        <v>132000</v>
      </c>
    </row>
    <row r="108" spans="1:5" ht="72.75" customHeight="1" x14ac:dyDescent="0.25">
      <c r="A108" s="36" t="s">
        <v>44</v>
      </c>
      <c r="B108" s="36"/>
      <c r="C108" s="36"/>
      <c r="D108" s="36"/>
      <c r="E108" s="36"/>
    </row>
    <row r="109" spans="1:5" x14ac:dyDescent="0.25">
      <c r="A109" s="10" t="s">
        <v>45</v>
      </c>
    </row>
    <row r="111" spans="1:5" ht="30" x14ac:dyDescent="0.25">
      <c r="A111" s="1" t="s">
        <v>46</v>
      </c>
      <c r="B111" s="13" t="s">
        <v>47</v>
      </c>
      <c r="C111" s="13" t="s">
        <v>25</v>
      </c>
      <c r="D111" s="13" t="s">
        <v>48</v>
      </c>
      <c r="E111" s="13" t="s">
        <v>49</v>
      </c>
    </row>
    <row r="112" spans="1:5" x14ac:dyDescent="0.25">
      <c r="A112" s="5" t="s">
        <v>4</v>
      </c>
      <c r="B112" s="18">
        <v>10</v>
      </c>
      <c r="C112" s="6">
        <f>C58</f>
        <v>5000</v>
      </c>
      <c r="D112" s="6">
        <v>1</v>
      </c>
      <c r="E112" s="6">
        <f>+B112*D112</f>
        <v>10</v>
      </c>
    </row>
    <row r="113" spans="1:5" x14ac:dyDescent="0.25">
      <c r="A113" s="5" t="s">
        <v>5</v>
      </c>
      <c r="B113" s="18">
        <v>15</v>
      </c>
      <c r="C113" s="6">
        <f t="shared" ref="C113:C114" si="26">C59</f>
        <v>500</v>
      </c>
      <c r="D113" s="6">
        <v>1</v>
      </c>
      <c r="E113" s="6">
        <f>+B113*D113</f>
        <v>15</v>
      </c>
    </row>
    <row r="114" spans="1:5" x14ac:dyDescent="0.25">
      <c r="A114" s="5" t="s">
        <v>6</v>
      </c>
      <c r="B114" s="18">
        <v>8</v>
      </c>
      <c r="C114" s="6">
        <f t="shared" si="26"/>
        <v>6000</v>
      </c>
      <c r="D114" s="6">
        <v>2</v>
      </c>
      <c r="E114" s="6">
        <f>+B114*D114</f>
        <v>16</v>
      </c>
    </row>
    <row r="116" spans="1:5" ht="30" x14ac:dyDescent="0.25">
      <c r="A116" s="1" t="s">
        <v>50</v>
      </c>
      <c r="B116" s="13" t="s">
        <v>47</v>
      </c>
      <c r="C116" s="13" t="s">
        <v>25</v>
      </c>
      <c r="D116" s="13" t="s">
        <v>48</v>
      </c>
      <c r="E116" s="13" t="s">
        <v>49</v>
      </c>
    </row>
    <row r="117" spans="1:5" x14ac:dyDescent="0.25">
      <c r="A117" s="5" t="s">
        <v>4</v>
      </c>
      <c r="B117" s="18">
        <v>10</v>
      </c>
      <c r="C117" s="6">
        <f>C49</f>
        <v>5000</v>
      </c>
      <c r="D117" s="19">
        <v>0.9</v>
      </c>
      <c r="E117" s="6">
        <f>+B117*D117</f>
        <v>9</v>
      </c>
    </row>
    <row r="118" spans="1:5" x14ac:dyDescent="0.25">
      <c r="A118" s="5" t="s">
        <v>5</v>
      </c>
      <c r="B118" s="18">
        <v>15</v>
      </c>
      <c r="C118" s="6">
        <f t="shared" ref="C118:C119" si="27">C50</f>
        <v>200</v>
      </c>
      <c r="D118" s="6">
        <v>0.8</v>
      </c>
      <c r="E118" s="6">
        <f>+B118*D118</f>
        <v>12</v>
      </c>
    </row>
    <row r="119" spans="1:5" x14ac:dyDescent="0.25">
      <c r="A119" s="5" t="s">
        <v>6</v>
      </c>
      <c r="B119" s="18">
        <v>9</v>
      </c>
      <c r="C119" s="6">
        <f t="shared" si="27"/>
        <v>6200</v>
      </c>
      <c r="D119" s="6">
        <v>2.1</v>
      </c>
      <c r="E119" s="6">
        <f>+B119*D119</f>
        <v>18.900000000000002</v>
      </c>
    </row>
    <row r="121" spans="1:5" x14ac:dyDescent="0.25">
      <c r="A121" s="10" t="s">
        <v>51</v>
      </c>
    </row>
    <row r="123" spans="1:5" ht="30" x14ac:dyDescent="0.25">
      <c r="A123" s="1" t="s">
        <v>46</v>
      </c>
      <c r="B123" s="13" t="s">
        <v>4</v>
      </c>
      <c r="C123" s="13" t="s">
        <v>5</v>
      </c>
      <c r="D123" s="13" t="s">
        <v>6</v>
      </c>
    </row>
    <row r="124" spans="1:5" x14ac:dyDescent="0.25">
      <c r="A124" s="5" t="s">
        <v>52</v>
      </c>
      <c r="B124" s="26">
        <f>E112</f>
        <v>10</v>
      </c>
      <c r="C124" s="26">
        <f>E113</f>
        <v>15</v>
      </c>
      <c r="D124" s="32">
        <f>E114</f>
        <v>16</v>
      </c>
    </row>
    <row r="125" spans="1:5" x14ac:dyDescent="0.25">
      <c r="A125" s="5" t="s">
        <v>53</v>
      </c>
      <c r="B125" s="26">
        <f>+B58*$B$65</f>
        <v>1.4606155451225873</v>
      </c>
      <c r="C125" s="26">
        <f>B59*$B$65</f>
        <v>1.4606155451225873</v>
      </c>
      <c r="D125" s="26">
        <f>B60*$B$65</f>
        <v>1.4606155451225873</v>
      </c>
    </row>
    <row r="126" spans="1:5" x14ac:dyDescent="0.25">
      <c r="A126" s="5" t="s">
        <v>31</v>
      </c>
      <c r="B126" s="26">
        <f>$C$94/$E$46</f>
        <v>4.0869565217391308</v>
      </c>
      <c r="C126" s="26">
        <f>$C$94/$E$46</f>
        <v>4.0869565217391308</v>
      </c>
      <c r="D126" s="26">
        <f>$C$94/$E$46</f>
        <v>4.0869565217391308</v>
      </c>
    </row>
    <row r="127" spans="1:5" x14ac:dyDescent="0.25">
      <c r="A127" s="8" t="s">
        <v>7</v>
      </c>
      <c r="B127" s="33">
        <f>SUM(B124:B126)</f>
        <v>15.547572066861719</v>
      </c>
      <c r="C127" s="33">
        <f t="shared" ref="C127:D127" si="28">SUM(C124:C126)</f>
        <v>20.547572066861719</v>
      </c>
      <c r="D127" s="33">
        <f t="shared" si="28"/>
        <v>21.547572066861719</v>
      </c>
    </row>
    <row r="128" spans="1:5" x14ac:dyDescent="0.25">
      <c r="A128" s="20"/>
      <c r="B128" s="21"/>
      <c r="C128" s="22"/>
    </row>
    <row r="130" spans="1:4" ht="30" x14ac:dyDescent="0.25">
      <c r="A130" s="1" t="s">
        <v>50</v>
      </c>
      <c r="B130" s="13" t="s">
        <v>4</v>
      </c>
      <c r="C130" s="13" t="s">
        <v>5</v>
      </c>
      <c r="D130" s="13" t="s">
        <v>6</v>
      </c>
    </row>
    <row r="131" spans="1:4" x14ac:dyDescent="0.25">
      <c r="A131" s="5" t="s">
        <v>52</v>
      </c>
      <c r="B131" s="26">
        <f>E117</f>
        <v>9</v>
      </c>
      <c r="C131" s="26">
        <f>E118</f>
        <v>12</v>
      </c>
      <c r="D131" s="32">
        <f>E119</f>
        <v>18.900000000000002</v>
      </c>
    </row>
    <row r="132" spans="1:4" x14ac:dyDescent="0.25">
      <c r="A132" s="5" t="s">
        <v>53</v>
      </c>
      <c r="B132" s="26">
        <f>B70*$C$83</f>
        <v>1.8911127584218761</v>
      </c>
      <c r="C132" s="26">
        <f>B71*$C$83</f>
        <v>1.8911127584218761</v>
      </c>
      <c r="D132" s="26">
        <f>B72*$C$83</f>
        <v>1.8911127584218761</v>
      </c>
    </row>
    <row r="133" spans="1:4" x14ac:dyDescent="0.25">
      <c r="A133" s="5" t="s">
        <v>31</v>
      </c>
      <c r="B133" s="26">
        <f>$C$106/$E$52</f>
        <v>3.8596491228070176</v>
      </c>
      <c r="C133" s="26">
        <f>$C$106/$E$52</f>
        <v>3.8596491228070176</v>
      </c>
      <c r="D133" s="26">
        <f>$C$106/$E$52</f>
        <v>3.8596491228070176</v>
      </c>
    </row>
    <row r="134" spans="1:4" x14ac:dyDescent="0.25">
      <c r="A134" s="8" t="s">
        <v>7</v>
      </c>
      <c r="B134" s="33">
        <f>SUM(B131:B133)</f>
        <v>14.750761881228893</v>
      </c>
      <c r="C134" s="33">
        <f t="shared" ref="C134:D134" si="29">SUM(C131:C133)</f>
        <v>17.750761881228893</v>
      </c>
      <c r="D134" s="33">
        <f t="shared" si="29"/>
        <v>24.650761881228895</v>
      </c>
    </row>
    <row r="136" spans="1:4" x14ac:dyDescent="0.25">
      <c r="A136" s="34" t="s">
        <v>66</v>
      </c>
    </row>
    <row r="137" spans="1:4" x14ac:dyDescent="0.25">
      <c r="A137" s="4" t="s">
        <v>67</v>
      </c>
    </row>
    <row r="138" spans="1:4" x14ac:dyDescent="0.25">
      <c r="A138" s="4" t="s">
        <v>68</v>
      </c>
    </row>
    <row r="139" spans="1:4" x14ac:dyDescent="0.25">
      <c r="A139" s="4" t="s">
        <v>69</v>
      </c>
    </row>
    <row r="140" spans="1:4" x14ac:dyDescent="0.25">
      <c r="A140" s="4" t="s">
        <v>70</v>
      </c>
    </row>
    <row r="141" spans="1:4" x14ac:dyDescent="0.25">
      <c r="A141" s="4" t="s">
        <v>71</v>
      </c>
    </row>
  </sheetData>
  <mergeCells count="3">
    <mergeCell ref="A1:E1"/>
    <mergeCell ref="A39:E39"/>
    <mergeCell ref="A108:E108"/>
  </mergeCells>
  <pageMargins left="0.70866141732283472" right="0.70866141732283472" top="0.74803149606299213" bottom="0.74803149606299213" header="0.31496062992125984" footer="0.31496062992125984"/>
  <pageSetup paperSize="9" scale="73" fitToHeight="0" orientation="portrait" r:id="rId1"/>
  <rowBreaks count="2" manualBreakCount="2">
    <brk id="53" max="5" man="1"/>
    <brk id="10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Ecole de Management de Normandie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LACOMBE Isabelle</dc:creator>
  <cp:lastModifiedBy>LACOMBE Isabelle</cp:lastModifiedBy>
  <cp:lastPrinted>2018-04-17T04:15:46Z</cp:lastPrinted>
  <dcterms:created xsi:type="dcterms:W3CDTF">2018-04-16T18:50:35Z</dcterms:created>
  <dcterms:modified xsi:type="dcterms:W3CDTF">2018-04-17T15:07:13Z</dcterms:modified>
</cp:coreProperties>
</file>