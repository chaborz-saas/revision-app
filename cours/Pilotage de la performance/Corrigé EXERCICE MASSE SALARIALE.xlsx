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mnormandie1-my.sharepoint.com/personal/ilacombe_em-normandie_fr/Documents/Documents/4- COURS/pilotage perf/2025 2026/complements exo/"/>
    </mc:Choice>
  </mc:AlternateContent>
  <xr:revisionPtr revIDLastSave="175" documentId="8_{7CB9216D-492F-4664-84DB-566C9C40B6D8}" xr6:coauthVersionLast="47" xr6:coauthVersionMax="47" xr10:uidLastSave="{4EC69A70-65B1-4932-904B-CD0ED526659A}"/>
  <bookViews>
    <workbookView xWindow="-120" yWindow="-120" windowWidth="29040" windowHeight="15720" activeTab="1" xr2:uid="{00000000-000D-0000-FFFF-FFFF00000000}"/>
  </bookViews>
  <sheets>
    <sheet name="Sujet" sheetId="2" r:id="rId1"/>
    <sheet name="Corrigé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D14" i="2"/>
  <c r="D9" i="2"/>
  <c r="D8" i="2"/>
  <c r="C28" i="1"/>
  <c r="C27" i="1"/>
  <c r="B28" i="1"/>
  <c r="B27" i="1"/>
  <c r="C20" i="1"/>
  <c r="C21" i="1"/>
  <c r="B21" i="1"/>
  <c r="B20" i="1"/>
  <c r="B29" i="1" l="1"/>
  <c r="B30" i="1" s="1"/>
  <c r="C35" i="1"/>
  <c r="B35" i="1"/>
  <c r="C34" i="1"/>
  <c r="B34" i="1"/>
  <c r="C29" i="1"/>
  <c r="C30" i="1" s="1"/>
  <c r="D28" i="1"/>
  <c r="D27" i="1"/>
  <c r="C22" i="1"/>
  <c r="C23" i="1" s="1"/>
  <c r="B22" i="1"/>
  <c r="B23" i="1" s="1"/>
  <c r="D21" i="1"/>
  <c r="D20" i="1"/>
  <c r="B36" i="1" l="1"/>
  <c r="B37" i="1" s="1"/>
  <c r="C36" i="1"/>
  <c r="C37" i="1" s="1"/>
  <c r="D29" i="1"/>
  <c r="D30" i="1" s="1"/>
  <c r="D22" i="1"/>
  <c r="D23" i="1" s="1"/>
  <c r="D15" i="1"/>
  <c r="D35" i="1" s="1"/>
  <c r="D14" i="1"/>
  <c r="D34" i="1" s="1"/>
  <c r="D9" i="1"/>
  <c r="D8" i="1"/>
  <c r="D36" i="1" l="1"/>
  <c r="D37" i="1" s="1"/>
</calcChain>
</file>

<file path=xl/sharedStrings.xml><?xml version="1.0" encoding="utf-8"?>
<sst xmlns="http://schemas.openxmlformats.org/spreadsheetml/2006/main" count="90" uniqueCount="36">
  <si>
    <t>Analyse des effectifs et de la masse salariale (hors cotisations salariales)</t>
  </si>
  <si>
    <t>Tableau 1- Masse salariale</t>
  </si>
  <si>
    <t>Masse Salariale N-1</t>
  </si>
  <si>
    <t>Masse Salariale N</t>
  </si>
  <si>
    <t>Non-cadres</t>
  </si>
  <si>
    <t>Cadres</t>
  </si>
  <si>
    <t>Total</t>
  </si>
  <si>
    <t>Questions :</t>
  </si>
  <si>
    <t>Tableau 2- Evolution des effectifs</t>
  </si>
  <si>
    <t>Effectif moyen N-1</t>
  </si>
  <si>
    <t>Effectif moyen N</t>
  </si>
  <si>
    <t>Variation N - N-1</t>
  </si>
  <si>
    <t>% Variation = variation / masse salariale N-1</t>
  </si>
  <si>
    <t>Rémunération moyenne N</t>
  </si>
  <si>
    <t>Rémunération moyenne N-1 = masse salariale / effectif moyen</t>
  </si>
  <si>
    <t>4) Commentez cette évolution de la rémunération moyenne pour la population cadre, non cadre et le total.</t>
  </si>
  <si>
    <t>Comment pouvez-vous l'expliquer ? (1 point)</t>
  </si>
  <si>
    <t>2) Calculez l'évolution des effectifs (1,5 points)</t>
  </si>
  <si>
    <t>Variation en nombre entre N et N-1</t>
  </si>
  <si>
    <t>% Variation des effectifs entre N et N-1 = variation / effectif N-1</t>
  </si>
  <si>
    <t>% Variation de la rémunération moyenne en N et N-1 = variation / rémunération moyenne N-1</t>
  </si>
  <si>
    <t>Variation de la rémunération moyenne en euros entre N et N-1</t>
  </si>
  <si>
    <t>Voici les données de la société CALIXO</t>
  </si>
  <si>
    <t>3) Calculez la rémunération moyenne annuelle par personne et son évolution (1 point)</t>
  </si>
  <si>
    <t>1) Calculez l'évolution de la masse salariale en euros (1,5 points)</t>
  </si>
  <si>
    <t>La rémunération moyenne de la population non cadre diminue de 3 333,33 euros par an soit 8,33%. Dans le même temps, cette population a</t>
  </si>
  <si>
    <t xml:space="preserve">gagné 10 personnes. On peut penser que les 10 personnes en question ont un salaire moins élevé (moins </t>
  </si>
  <si>
    <t xml:space="preserve">d'expérience ou postes moins qualifiés). </t>
  </si>
  <si>
    <t>La rémunération moyenne de la population cadre augmente de 10 000€ soit 16,67%. Dans le même temps, cette population a</t>
  </si>
  <si>
    <t xml:space="preserve">Au global, le salaire moyen diminue de 3 068,18 euros, soit -7,34%. </t>
  </si>
  <si>
    <t>On peut aussi penser que les résultats de l'entreprise ont été bons et que des bonus ont été versés aux cadres au titre de la rémunération variable.</t>
  </si>
  <si>
    <t>% Variation des effectifs entre N et N-1</t>
  </si>
  <si>
    <t>% Variation</t>
  </si>
  <si>
    <t>% Variation de la rémunération moyenne en N et N-1</t>
  </si>
  <si>
    <t>Le départ d'un cadre et le versement des bonus pèse moins que la baisse moyenne de rémunération des non cadres.</t>
  </si>
  <si>
    <t xml:space="preserve">diminué d'une personne. On peut penser que cette personne ayant quitté l'entreprise était rémunérée en dessous de la moyenne des autres cadres.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</si>
</sst>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/>
    </xf>
    <xf numFmtId="165" fontId="2" fillId="0" borderId="1" xfId="1" applyNumberFormat="1" applyFont="1" applyBorder="1" applyAlignment="1">
      <alignment horizontal="right" vertical="center"/>
    </xf>
    <xf numFmtId="10" fontId="0" fillId="0" borderId="1" xfId="2" applyNumberFormat="1" applyFont="1" applyBorder="1" applyAlignment="1">
      <alignment horizontal="right" vertical="center"/>
    </xf>
    <xf numFmtId="10" fontId="2" fillId="0" borderId="1" xfId="2" applyNumberFormat="1" applyFont="1" applyBorder="1" applyAlignment="1">
      <alignment horizontal="right" vertical="center"/>
    </xf>
    <xf numFmtId="0" fontId="0" fillId="0" borderId="1" xfId="1" applyNumberFormat="1" applyFont="1" applyBorder="1" applyAlignment="1">
      <alignment horizontal="right" vertical="center"/>
    </xf>
    <xf numFmtId="0" fontId="2" fillId="0" borderId="1" xfId="1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5" fillId="0" borderId="0" xfId="0" applyFont="1" applyAlignment="1">
      <alignment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51C1-F1FD-44EB-BBC4-E1CF95C3D939}">
  <sheetPr>
    <pageSetUpPr fitToPage="1"/>
  </sheetPr>
  <dimension ref="A1:D52"/>
  <sheetViews>
    <sheetView topLeftCell="A17" zoomScaleNormal="100" workbookViewId="0">
      <selection activeCell="B26" sqref="B26"/>
    </sheetView>
  </sheetViews>
  <sheetFormatPr baseColWidth="10" defaultColWidth="10.85546875" defaultRowHeight="15" x14ac:dyDescent="0.25"/>
  <cols>
    <col min="1" max="1" width="35.140625" style="4" customWidth="1"/>
    <col min="2" max="3" width="14.85546875" style="12" bestFit="1" customWidth="1"/>
    <col min="4" max="4" width="16.85546875" style="12" customWidth="1"/>
    <col min="5" max="5" width="5.5703125" style="4" customWidth="1"/>
    <col min="6" max="6" width="9" style="4" customWidth="1"/>
    <col min="7" max="7" width="5.5703125" style="4" customWidth="1"/>
    <col min="8" max="8" width="8.5703125" style="4" customWidth="1"/>
    <col min="9" max="9" width="5.5703125" style="4" customWidth="1"/>
    <col min="10" max="16384" width="10.85546875" style="4"/>
  </cols>
  <sheetData>
    <row r="1" spans="1:4" x14ac:dyDescent="0.25">
      <c r="A1" s="16" t="s">
        <v>0</v>
      </c>
    </row>
    <row r="3" spans="1:4" x14ac:dyDescent="0.25">
      <c r="A3" s="4" t="s">
        <v>22</v>
      </c>
    </row>
    <row r="5" spans="1:4" x14ac:dyDescent="0.25">
      <c r="A5" s="4" t="s">
        <v>1</v>
      </c>
    </row>
    <row r="7" spans="1:4" ht="20.100000000000001" customHeight="1" x14ac:dyDescent="0.25">
      <c r="A7" s="1"/>
      <c r="B7" s="2" t="s">
        <v>4</v>
      </c>
      <c r="C7" s="2" t="s">
        <v>5</v>
      </c>
      <c r="D7" s="3" t="s">
        <v>6</v>
      </c>
    </row>
    <row r="8" spans="1:4" ht="20.100000000000001" customHeight="1" x14ac:dyDescent="0.25">
      <c r="A8" s="1" t="s">
        <v>2</v>
      </c>
      <c r="B8" s="5">
        <v>2000000</v>
      </c>
      <c r="C8" s="5">
        <v>300000</v>
      </c>
      <c r="D8" s="6">
        <f>SUM(B8:C8)</f>
        <v>2300000</v>
      </c>
    </row>
    <row r="9" spans="1:4" ht="20.100000000000001" customHeight="1" x14ac:dyDescent="0.25">
      <c r="A9" s="1" t="s">
        <v>3</v>
      </c>
      <c r="B9" s="5">
        <v>2200000</v>
      </c>
      <c r="C9" s="5">
        <v>280000</v>
      </c>
      <c r="D9" s="6">
        <f>SUM(B9:C9)</f>
        <v>2480000</v>
      </c>
    </row>
    <row r="10" spans="1:4" x14ac:dyDescent="0.25">
      <c r="B10" s="7"/>
      <c r="C10" s="7"/>
      <c r="D10" s="8"/>
    </row>
    <row r="11" spans="1:4" ht="30.95" customHeight="1" x14ac:dyDescent="0.25">
      <c r="A11" s="17"/>
      <c r="B11" s="18"/>
    </row>
    <row r="12" spans="1:4" ht="30.95" customHeight="1" x14ac:dyDescent="0.25">
      <c r="A12" s="4" t="s">
        <v>8</v>
      </c>
    </row>
    <row r="13" spans="1:4" ht="30.95" customHeight="1" x14ac:dyDescent="0.25">
      <c r="A13" s="1"/>
      <c r="B13" s="2" t="s">
        <v>4</v>
      </c>
      <c r="C13" s="2" t="s">
        <v>5</v>
      </c>
      <c r="D13" s="3" t="s">
        <v>6</v>
      </c>
    </row>
    <row r="14" spans="1:4" ht="30.95" customHeight="1" x14ac:dyDescent="0.25">
      <c r="A14" s="1" t="s">
        <v>9</v>
      </c>
      <c r="B14" s="9">
        <v>50</v>
      </c>
      <c r="C14" s="9">
        <v>5</v>
      </c>
      <c r="D14" s="10">
        <f>SUM(B14:C14)</f>
        <v>55</v>
      </c>
    </row>
    <row r="15" spans="1:4" ht="30.95" customHeight="1" x14ac:dyDescent="0.25">
      <c r="A15" s="1" t="s">
        <v>10</v>
      </c>
      <c r="B15" s="9">
        <v>60</v>
      </c>
      <c r="C15" s="9">
        <v>4</v>
      </c>
      <c r="D15" s="10">
        <f>SUM(B15:C15)</f>
        <v>64</v>
      </c>
    </row>
    <row r="16" spans="1:4" ht="30.95" customHeight="1" x14ac:dyDescent="0.25">
      <c r="B16" s="7"/>
      <c r="C16" s="7"/>
      <c r="D16" s="8"/>
    </row>
    <row r="17" spans="1:4" ht="30.95" customHeight="1" x14ac:dyDescent="0.25">
      <c r="A17" s="11" t="s">
        <v>7</v>
      </c>
    </row>
    <row r="18" spans="1:4" ht="30.95" customHeight="1" x14ac:dyDescent="0.25">
      <c r="A18" s="4" t="s">
        <v>24</v>
      </c>
    </row>
    <row r="19" spans="1:4" ht="30.95" customHeight="1" x14ac:dyDescent="0.25">
      <c r="A19" s="1"/>
      <c r="B19" s="2" t="s">
        <v>4</v>
      </c>
      <c r="C19" s="2" t="s">
        <v>5</v>
      </c>
      <c r="D19" s="3" t="s">
        <v>6</v>
      </c>
    </row>
    <row r="20" spans="1:4" ht="30.95" customHeight="1" x14ac:dyDescent="0.25">
      <c r="A20" s="1" t="s">
        <v>2</v>
      </c>
      <c r="B20" s="5"/>
      <c r="C20" s="5"/>
      <c r="D20" s="6"/>
    </row>
    <row r="21" spans="1:4" ht="30.95" customHeight="1" x14ac:dyDescent="0.25">
      <c r="A21" s="1" t="s">
        <v>3</v>
      </c>
      <c r="B21" s="5"/>
      <c r="C21" s="5"/>
      <c r="D21" s="6"/>
    </row>
    <row r="22" spans="1:4" ht="30.95" customHeight="1" x14ac:dyDescent="0.25">
      <c r="A22" s="1" t="s">
        <v>11</v>
      </c>
      <c r="B22" s="13"/>
      <c r="C22" s="13"/>
      <c r="D22" s="15"/>
    </row>
    <row r="23" spans="1:4" ht="30.95" customHeight="1" x14ac:dyDescent="0.25">
      <c r="A23" s="14" t="s">
        <v>32</v>
      </c>
      <c r="B23" s="21"/>
      <c r="C23" s="21"/>
      <c r="D23" s="22"/>
    </row>
    <row r="24" spans="1:4" ht="20.100000000000001" customHeight="1" x14ac:dyDescent="0.25"/>
    <row r="25" spans="1:4" ht="20.100000000000001" customHeight="1" x14ac:dyDescent="0.25">
      <c r="A25" s="4" t="s">
        <v>17</v>
      </c>
    </row>
    <row r="26" spans="1:4" ht="20.100000000000001" customHeight="1" x14ac:dyDescent="0.25">
      <c r="A26" s="1"/>
      <c r="B26" s="2" t="s">
        <v>4</v>
      </c>
      <c r="C26" s="2" t="s">
        <v>5</v>
      </c>
      <c r="D26" s="3" t="s">
        <v>6</v>
      </c>
    </row>
    <row r="27" spans="1:4" ht="41.1" customHeight="1" x14ac:dyDescent="0.25">
      <c r="A27" s="1" t="s">
        <v>9</v>
      </c>
      <c r="B27" s="23"/>
      <c r="C27" s="23"/>
      <c r="D27" s="24"/>
    </row>
    <row r="28" spans="1:4" x14ac:dyDescent="0.25">
      <c r="A28" s="1" t="s">
        <v>10</v>
      </c>
      <c r="B28" s="23"/>
      <c r="C28" s="23"/>
      <c r="D28" s="24"/>
    </row>
    <row r="29" spans="1:4" x14ac:dyDescent="0.25">
      <c r="A29" s="1" t="s">
        <v>18</v>
      </c>
      <c r="B29" s="25"/>
      <c r="C29" s="25"/>
      <c r="D29" s="26"/>
    </row>
    <row r="30" spans="1:4" ht="30" x14ac:dyDescent="0.25">
      <c r="A30" s="14" t="s">
        <v>31</v>
      </c>
      <c r="B30" s="21"/>
      <c r="C30" s="21"/>
      <c r="D30" s="22"/>
    </row>
    <row r="32" spans="1:4" ht="20.100000000000001" customHeight="1" x14ac:dyDescent="0.25">
      <c r="A32" s="4" t="s">
        <v>23</v>
      </c>
    </row>
    <row r="33" spans="1:4" x14ac:dyDescent="0.25">
      <c r="A33" s="1"/>
      <c r="B33" s="2" t="s">
        <v>4</v>
      </c>
      <c r="C33" s="2" t="s">
        <v>5</v>
      </c>
      <c r="D33" s="3" t="s">
        <v>6</v>
      </c>
    </row>
    <row r="34" spans="1:4" ht="30" x14ac:dyDescent="0.25">
      <c r="A34" s="14" t="s">
        <v>14</v>
      </c>
      <c r="B34" s="19"/>
      <c r="C34" s="19"/>
      <c r="D34" s="20"/>
    </row>
    <row r="35" spans="1:4" x14ac:dyDescent="0.25">
      <c r="A35" s="14" t="s">
        <v>13</v>
      </c>
      <c r="B35" s="19"/>
      <c r="C35" s="19"/>
      <c r="D35" s="20"/>
    </row>
    <row r="36" spans="1:4" ht="30" x14ac:dyDescent="0.25">
      <c r="A36" s="14" t="s">
        <v>21</v>
      </c>
      <c r="B36" s="19"/>
      <c r="C36" s="19"/>
      <c r="D36" s="20"/>
    </row>
    <row r="37" spans="1:4" ht="30" x14ac:dyDescent="0.25">
      <c r="A37" s="14" t="s">
        <v>33</v>
      </c>
      <c r="B37" s="21"/>
      <c r="C37" s="21"/>
      <c r="D37" s="22"/>
    </row>
    <row r="39" spans="1:4" x14ac:dyDescent="0.25">
      <c r="A39" s="17" t="s">
        <v>15</v>
      </c>
      <c r="B39" s="17"/>
      <c r="C39" s="17"/>
      <c r="D39" s="17"/>
    </row>
    <row r="40" spans="1:4" ht="21" customHeight="1" x14ac:dyDescent="0.25">
      <c r="A40" s="4" t="s">
        <v>16</v>
      </c>
    </row>
    <row r="41" spans="1:4" ht="20.100000000000001" customHeight="1" x14ac:dyDescent="0.25">
      <c r="A41" s="27"/>
    </row>
    <row r="42" spans="1:4" ht="20.100000000000001" customHeight="1" x14ac:dyDescent="0.25">
      <c r="A42" s="27"/>
    </row>
    <row r="43" spans="1:4" ht="20.100000000000001" customHeight="1" x14ac:dyDescent="0.25">
      <c r="A43" s="27"/>
    </row>
    <row r="44" spans="1:4" ht="20.100000000000001" customHeight="1" x14ac:dyDescent="0.25">
      <c r="A44" s="27"/>
    </row>
    <row r="45" spans="1:4" ht="20.100000000000001" customHeight="1" x14ac:dyDescent="0.25">
      <c r="A45" s="27"/>
    </row>
    <row r="46" spans="1:4" ht="20.100000000000001" customHeight="1" x14ac:dyDescent="0.25">
      <c r="A46" s="27"/>
    </row>
    <row r="47" spans="1:4" ht="20.100000000000001" customHeight="1" x14ac:dyDescent="0.25">
      <c r="A47" s="27"/>
    </row>
    <row r="48" spans="1:4" ht="20.100000000000001" customHeight="1" x14ac:dyDescent="0.25">
      <c r="A48" s="27"/>
    </row>
    <row r="49" spans="1:1" ht="20.100000000000001" customHeight="1" x14ac:dyDescent="0.25">
      <c r="A49" s="27"/>
    </row>
    <row r="50" spans="1:1" ht="20.100000000000001" customHeight="1" x14ac:dyDescent="0.25">
      <c r="A50" s="27"/>
    </row>
    <row r="51" spans="1:1" ht="20.100000000000001" customHeight="1" x14ac:dyDescent="0.25">
      <c r="A51" s="27"/>
    </row>
    <row r="52" spans="1:1" ht="20.100000000000001" customHeight="1" x14ac:dyDescent="0.25">
      <c r="A52" s="27"/>
    </row>
  </sheetData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rowBreaks count="1" manualBreakCount="1">
    <brk id="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3"/>
  <sheetViews>
    <sheetView tabSelected="1" topLeftCell="A38" zoomScaleNormal="100" workbookViewId="0">
      <selection activeCell="A47" sqref="A47"/>
    </sheetView>
  </sheetViews>
  <sheetFormatPr baseColWidth="10" defaultColWidth="10.85546875" defaultRowHeight="15" x14ac:dyDescent="0.25"/>
  <cols>
    <col min="1" max="1" width="35.140625" style="4" customWidth="1"/>
    <col min="2" max="3" width="14.85546875" style="12" bestFit="1" customWidth="1"/>
    <col min="4" max="4" width="16.85546875" style="12" customWidth="1"/>
    <col min="5" max="5" width="5.5703125" style="4" customWidth="1"/>
    <col min="6" max="6" width="9" style="4" customWidth="1"/>
    <col min="7" max="7" width="5.5703125" style="4" customWidth="1"/>
    <col min="8" max="8" width="8.5703125" style="4" customWidth="1"/>
    <col min="9" max="9" width="5.5703125" style="4" customWidth="1"/>
    <col min="10" max="16384" width="10.85546875" style="4"/>
  </cols>
  <sheetData>
    <row r="1" spans="1:4" x14ac:dyDescent="0.25">
      <c r="A1" s="16" t="s">
        <v>0</v>
      </c>
    </row>
    <row r="3" spans="1:4" x14ac:dyDescent="0.25">
      <c r="A3" s="4" t="s">
        <v>22</v>
      </c>
    </row>
    <row r="5" spans="1:4" x14ac:dyDescent="0.25">
      <c r="A5" s="4" t="s">
        <v>1</v>
      </c>
    </row>
    <row r="7" spans="1:4" ht="20.100000000000001" customHeight="1" x14ac:dyDescent="0.25">
      <c r="A7" s="1"/>
      <c r="B7" s="2" t="s">
        <v>4</v>
      </c>
      <c r="C7" s="2" t="s">
        <v>5</v>
      </c>
      <c r="D7" s="3" t="s">
        <v>6</v>
      </c>
    </row>
    <row r="8" spans="1:4" ht="20.100000000000001" customHeight="1" x14ac:dyDescent="0.25">
      <c r="A8" s="1" t="s">
        <v>2</v>
      </c>
      <c r="B8" s="5">
        <v>2000000</v>
      </c>
      <c r="C8" s="5">
        <v>300000</v>
      </c>
      <c r="D8" s="6">
        <f>SUM(B8:C8)</f>
        <v>2300000</v>
      </c>
    </row>
    <row r="9" spans="1:4" ht="20.100000000000001" customHeight="1" x14ac:dyDescent="0.25">
      <c r="A9" s="1" t="s">
        <v>3</v>
      </c>
      <c r="B9" s="5">
        <v>2200000</v>
      </c>
      <c r="C9" s="5">
        <v>280000</v>
      </c>
      <c r="D9" s="6">
        <f>SUM(B9:C9)</f>
        <v>2480000</v>
      </c>
    </row>
    <row r="10" spans="1:4" x14ac:dyDescent="0.25">
      <c r="B10" s="7"/>
      <c r="C10" s="7"/>
      <c r="D10" s="8"/>
    </row>
    <row r="11" spans="1:4" ht="30.95" customHeight="1" x14ac:dyDescent="0.25">
      <c r="A11" s="17"/>
      <c r="B11" s="18"/>
    </row>
    <row r="12" spans="1:4" ht="30.95" customHeight="1" x14ac:dyDescent="0.25">
      <c r="A12" s="4" t="s">
        <v>8</v>
      </c>
    </row>
    <row r="13" spans="1:4" ht="30.95" customHeight="1" x14ac:dyDescent="0.25">
      <c r="A13" s="1"/>
      <c r="B13" s="2" t="s">
        <v>4</v>
      </c>
      <c r="C13" s="2" t="s">
        <v>5</v>
      </c>
      <c r="D13" s="3" t="s">
        <v>6</v>
      </c>
    </row>
    <row r="14" spans="1:4" ht="30.95" customHeight="1" x14ac:dyDescent="0.25">
      <c r="A14" s="1" t="s">
        <v>9</v>
      </c>
      <c r="B14" s="9">
        <v>50</v>
      </c>
      <c r="C14" s="9">
        <v>5</v>
      </c>
      <c r="D14" s="10">
        <f>SUM(B14:C14)</f>
        <v>55</v>
      </c>
    </row>
    <row r="15" spans="1:4" ht="30.95" customHeight="1" x14ac:dyDescent="0.25">
      <c r="A15" s="1" t="s">
        <v>10</v>
      </c>
      <c r="B15" s="9">
        <v>60</v>
      </c>
      <c r="C15" s="9">
        <v>4</v>
      </c>
      <c r="D15" s="10">
        <f>SUM(B15:C15)</f>
        <v>64</v>
      </c>
    </row>
    <row r="16" spans="1:4" ht="30.95" customHeight="1" x14ac:dyDescent="0.25">
      <c r="B16" s="7"/>
      <c r="C16" s="7"/>
      <c r="D16" s="8"/>
    </row>
    <row r="17" spans="1:4" ht="30.95" customHeight="1" x14ac:dyDescent="0.25">
      <c r="A17" s="11" t="s">
        <v>7</v>
      </c>
    </row>
    <row r="18" spans="1:4" ht="30.95" customHeight="1" x14ac:dyDescent="0.25">
      <c r="A18" s="4" t="s">
        <v>24</v>
      </c>
    </row>
    <row r="19" spans="1:4" ht="30.95" customHeight="1" x14ac:dyDescent="0.25">
      <c r="A19" s="1"/>
      <c r="B19" s="2" t="s">
        <v>4</v>
      </c>
      <c r="C19" s="2" t="s">
        <v>5</v>
      </c>
      <c r="D19" s="3" t="s">
        <v>6</v>
      </c>
    </row>
    <row r="20" spans="1:4" ht="30.95" customHeight="1" x14ac:dyDescent="0.25">
      <c r="A20" s="1" t="s">
        <v>2</v>
      </c>
      <c r="B20" s="5">
        <f>+B8</f>
        <v>2000000</v>
      </c>
      <c r="C20" s="5">
        <f>+C8</f>
        <v>300000</v>
      </c>
      <c r="D20" s="6">
        <f>SUM(B20:C20)</f>
        <v>2300000</v>
      </c>
    </row>
    <row r="21" spans="1:4" ht="30.95" customHeight="1" x14ac:dyDescent="0.25">
      <c r="A21" s="1" t="s">
        <v>3</v>
      </c>
      <c r="B21" s="5">
        <f>+B9</f>
        <v>2200000</v>
      </c>
      <c r="C21" s="5">
        <f>+C9</f>
        <v>280000</v>
      </c>
      <c r="D21" s="6">
        <f>SUM(B21:C21)</f>
        <v>2480000</v>
      </c>
    </row>
    <row r="22" spans="1:4" ht="30.95" customHeight="1" x14ac:dyDescent="0.25">
      <c r="A22" s="1" t="s">
        <v>11</v>
      </c>
      <c r="B22" s="13">
        <f>B21-B20</f>
        <v>200000</v>
      </c>
      <c r="C22" s="13">
        <f>C21-C20</f>
        <v>-20000</v>
      </c>
      <c r="D22" s="15">
        <f>D21-D20</f>
        <v>180000</v>
      </c>
    </row>
    <row r="23" spans="1:4" ht="30.95" customHeight="1" x14ac:dyDescent="0.25">
      <c r="A23" s="14" t="s">
        <v>12</v>
      </c>
      <c r="B23" s="21">
        <f>B22/B20</f>
        <v>0.1</v>
      </c>
      <c r="C23" s="21">
        <f>C22/C20</f>
        <v>-6.6666666666666666E-2</v>
      </c>
      <c r="D23" s="22">
        <f>D22/D20</f>
        <v>7.8260869565217397E-2</v>
      </c>
    </row>
    <row r="24" spans="1:4" ht="20.100000000000001" customHeight="1" x14ac:dyDescent="0.25"/>
    <row r="25" spans="1:4" ht="20.100000000000001" customHeight="1" x14ac:dyDescent="0.25">
      <c r="A25" s="4" t="s">
        <v>17</v>
      </c>
    </row>
    <row r="26" spans="1:4" ht="20.100000000000001" customHeight="1" x14ac:dyDescent="0.25">
      <c r="A26" s="1"/>
      <c r="B26" s="2" t="s">
        <v>4</v>
      </c>
      <c r="C26" s="2" t="s">
        <v>5</v>
      </c>
      <c r="D26" s="3" t="s">
        <v>6</v>
      </c>
    </row>
    <row r="27" spans="1:4" ht="41.1" customHeight="1" x14ac:dyDescent="0.25">
      <c r="A27" s="1" t="s">
        <v>9</v>
      </c>
      <c r="B27" s="23">
        <f>+B14</f>
        <v>50</v>
      </c>
      <c r="C27" s="23">
        <f>+C14</f>
        <v>5</v>
      </c>
      <c r="D27" s="24">
        <f>SUM(B27:C27)</f>
        <v>55</v>
      </c>
    </row>
    <row r="28" spans="1:4" x14ac:dyDescent="0.25">
      <c r="A28" s="1" t="s">
        <v>10</v>
      </c>
      <c r="B28" s="23">
        <f>+B15</f>
        <v>60</v>
      </c>
      <c r="C28" s="23">
        <f>+C15</f>
        <v>4</v>
      </c>
      <c r="D28" s="24">
        <f>SUM(B28:C28)</f>
        <v>64</v>
      </c>
    </row>
    <row r="29" spans="1:4" x14ac:dyDescent="0.25">
      <c r="A29" s="1" t="s">
        <v>18</v>
      </c>
      <c r="B29" s="25">
        <f>B28-B27</f>
        <v>10</v>
      </c>
      <c r="C29" s="25">
        <f>C28-C27</f>
        <v>-1</v>
      </c>
      <c r="D29" s="26">
        <f>D28-D27</f>
        <v>9</v>
      </c>
    </row>
    <row r="30" spans="1:4" ht="30" x14ac:dyDescent="0.25">
      <c r="A30" s="14" t="s">
        <v>19</v>
      </c>
      <c r="B30" s="21">
        <f>B29/B27</f>
        <v>0.2</v>
      </c>
      <c r="C30" s="21">
        <f>C29/C27</f>
        <v>-0.2</v>
      </c>
      <c r="D30" s="22">
        <f>D29/D27</f>
        <v>0.16363636363636364</v>
      </c>
    </row>
    <row r="32" spans="1:4" ht="20.100000000000001" customHeight="1" x14ac:dyDescent="0.25">
      <c r="A32" s="4" t="s">
        <v>23</v>
      </c>
    </row>
    <row r="33" spans="1:4" x14ac:dyDescent="0.25">
      <c r="A33" s="1"/>
      <c r="B33" s="2" t="s">
        <v>4</v>
      </c>
      <c r="C33" s="2" t="s">
        <v>5</v>
      </c>
      <c r="D33" s="3" t="s">
        <v>6</v>
      </c>
    </row>
    <row r="34" spans="1:4" ht="30" x14ac:dyDescent="0.25">
      <c r="A34" s="14" t="s">
        <v>14</v>
      </c>
      <c r="B34" s="19">
        <f t="shared" ref="B34:D35" si="0">B20/B14</f>
        <v>40000</v>
      </c>
      <c r="C34" s="19">
        <f t="shared" si="0"/>
        <v>60000</v>
      </c>
      <c r="D34" s="20">
        <f t="shared" si="0"/>
        <v>41818.181818181816</v>
      </c>
    </row>
    <row r="35" spans="1:4" x14ac:dyDescent="0.25">
      <c r="A35" s="14" t="s">
        <v>13</v>
      </c>
      <c r="B35" s="19">
        <f t="shared" si="0"/>
        <v>36666.666666666664</v>
      </c>
      <c r="C35" s="19">
        <f t="shared" si="0"/>
        <v>70000</v>
      </c>
      <c r="D35" s="20">
        <f t="shared" si="0"/>
        <v>38750</v>
      </c>
    </row>
    <row r="36" spans="1:4" ht="30" x14ac:dyDescent="0.25">
      <c r="A36" s="14" t="s">
        <v>21</v>
      </c>
      <c r="B36" s="19">
        <f>B35-B34</f>
        <v>-3333.3333333333358</v>
      </c>
      <c r="C36" s="19">
        <f>C35-C34</f>
        <v>10000</v>
      </c>
      <c r="D36" s="20">
        <f>D35-D34</f>
        <v>-3068.1818181818162</v>
      </c>
    </row>
    <row r="37" spans="1:4" ht="45" x14ac:dyDescent="0.25">
      <c r="A37" s="14" t="s">
        <v>20</v>
      </c>
      <c r="B37" s="21">
        <f>B36/B34</f>
        <v>-8.3333333333333398E-2</v>
      </c>
      <c r="C37" s="21">
        <f>C36/C34</f>
        <v>0.16666666666666666</v>
      </c>
      <c r="D37" s="22">
        <f>D36/D34</f>
        <v>-7.3369565217391255E-2</v>
      </c>
    </row>
    <row r="39" spans="1:4" x14ac:dyDescent="0.25">
      <c r="A39" s="17" t="s">
        <v>15</v>
      </c>
      <c r="B39" s="17"/>
      <c r="C39" s="17"/>
      <c r="D39" s="17"/>
    </row>
    <row r="40" spans="1:4" ht="21" customHeight="1" x14ac:dyDescent="0.25">
      <c r="A40" s="4" t="s">
        <v>16</v>
      </c>
    </row>
    <row r="41" spans="1:4" ht="20.100000000000001" customHeight="1" x14ac:dyDescent="0.25">
      <c r="A41" s="27" t="s">
        <v>25</v>
      </c>
    </row>
    <row r="42" spans="1:4" ht="20.100000000000001" customHeight="1" x14ac:dyDescent="0.25">
      <c r="A42" s="27" t="s">
        <v>26</v>
      </c>
    </row>
    <row r="43" spans="1:4" ht="20.100000000000001" customHeight="1" x14ac:dyDescent="0.25">
      <c r="A43" s="27" t="s">
        <v>27</v>
      </c>
    </row>
    <row r="44" spans="1:4" ht="20.100000000000001" customHeight="1" x14ac:dyDescent="0.25">
      <c r="A44" s="27"/>
    </row>
    <row r="45" spans="1:4" ht="20.100000000000001" customHeight="1" x14ac:dyDescent="0.25">
      <c r="A45" s="27" t="s">
        <v>28</v>
      </c>
    </row>
    <row r="46" spans="1:4" ht="20.100000000000001" customHeight="1" x14ac:dyDescent="0.25">
      <c r="A46" s="27" t="s">
        <v>35</v>
      </c>
    </row>
    <row r="47" spans="1:4" ht="20.100000000000001" customHeight="1" x14ac:dyDescent="0.25">
      <c r="A47" s="27" t="s">
        <v>30</v>
      </c>
    </row>
    <row r="48" spans="1:4" ht="20.100000000000001" customHeight="1" x14ac:dyDescent="0.25">
      <c r="A48" s="27"/>
    </row>
    <row r="49" spans="1:1" ht="20.100000000000001" customHeight="1" x14ac:dyDescent="0.25">
      <c r="A49" s="27" t="s">
        <v>29</v>
      </c>
    </row>
    <row r="50" spans="1:1" ht="20.100000000000001" customHeight="1" x14ac:dyDescent="0.25">
      <c r="A50" s="27" t="s">
        <v>34</v>
      </c>
    </row>
    <row r="51" spans="1:1" ht="20.100000000000001" customHeight="1" x14ac:dyDescent="0.25">
      <c r="A51" s="27"/>
    </row>
    <row r="52" spans="1:1" ht="20.100000000000001" customHeight="1" x14ac:dyDescent="0.25">
      <c r="A52" s="27"/>
    </row>
    <row r="53" spans="1:1" ht="20.100000000000001" customHeight="1" x14ac:dyDescent="0.25">
      <c r="A53" s="27"/>
    </row>
  </sheetData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rowBreaks count="1" manualBreakCount="1">
    <brk id="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Sujet</vt:lpstr>
      <vt:lpstr>Corrigé</vt:lpstr>
    </vt:vector>
  </TitlesOfParts>
  <Company>Ecole de Management de Normandie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LACOMBE Isabelle</dc:creator>
  <cp:lastModifiedBy>LACOMBE Isabelle</cp:lastModifiedBy>
  <dcterms:created xsi:type="dcterms:W3CDTF">2019-02-19T14:09:09Z</dcterms:created>
  <dcterms:modified xsi:type="dcterms:W3CDTF">2026-02-17T10:40:15Z</dcterms:modified>
</cp:coreProperties>
</file>