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normandie1-my.sharepoint.com/personal/ilacombe_em-normandie_fr/Documents/Documents/4- COURS/pilotage perf/2025 2026/complements exo/"/>
    </mc:Choice>
  </mc:AlternateContent>
  <xr:revisionPtr revIDLastSave="488" documentId="8_{CAE71D1A-D9FE-46D7-8A99-30AD9648195F}" xr6:coauthVersionLast="47" xr6:coauthVersionMax="47" xr10:uidLastSave="{DE35201D-A947-4546-93ED-C624450C4DCC}"/>
  <bookViews>
    <workbookView xWindow="-110" yWindow="-110" windowWidth="19420" windowHeight="10300" activeTab="1" xr2:uid="{C032C36E-3183-407A-ACAA-877EC06E26A9}"/>
  </bookViews>
  <sheets>
    <sheet name="Sujet" sheetId="2" r:id="rId1"/>
    <sheet name="correc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1" l="1"/>
  <c r="A45" i="1"/>
  <c r="A44" i="1"/>
  <c r="D24" i="2"/>
  <c r="C24" i="2"/>
  <c r="B24" i="2"/>
  <c r="B13" i="2"/>
  <c r="B12" i="2"/>
  <c r="B11" i="2"/>
  <c r="B8" i="2"/>
  <c r="B7" i="2"/>
  <c r="B3" i="2"/>
  <c r="B5" i="2"/>
  <c r="A5" i="2"/>
  <c r="B4" i="2"/>
  <c r="A4" i="2"/>
  <c r="A3" i="2"/>
  <c r="A1" i="2"/>
  <c r="D58" i="1"/>
  <c r="D57" i="1"/>
  <c r="D56" i="1"/>
  <c r="A58" i="1"/>
  <c r="A57" i="1"/>
  <c r="A56" i="1"/>
  <c r="D46" i="1"/>
  <c r="D45" i="1"/>
  <c r="D44" i="1"/>
  <c r="C46" i="1"/>
  <c r="C45" i="1"/>
  <c r="C44" i="1"/>
  <c r="B46" i="1"/>
  <c r="B45" i="1"/>
  <c r="B44" i="1"/>
  <c r="E36" i="1"/>
  <c r="A37" i="1"/>
  <c r="C37" i="1" s="1"/>
  <c r="A36" i="1"/>
  <c r="E25" i="1"/>
  <c r="B51" i="1" s="1"/>
  <c r="D18" i="1"/>
  <c r="D24" i="1" s="1"/>
  <c r="D43" i="1" s="1"/>
  <c r="C18" i="1"/>
  <c r="C24" i="1" s="1"/>
  <c r="C43" i="1" s="1"/>
  <c r="B18" i="1"/>
  <c r="B24" i="1" s="1"/>
  <c r="A14" i="1"/>
  <c r="A21" i="1" s="1"/>
  <c r="A13" i="1"/>
  <c r="A20" i="1" s="1"/>
  <c r="A12" i="1"/>
  <c r="A19" i="1" s="1"/>
  <c r="E24" i="2" l="1"/>
  <c r="A13" i="2"/>
  <c r="A20" i="2" s="1"/>
  <c r="A47" i="2"/>
  <c r="D17" i="2"/>
  <c r="D23" i="2" s="1"/>
  <c r="D42" i="2" s="1"/>
  <c r="A60" i="2"/>
  <c r="A43" i="2"/>
  <c r="A11" i="2"/>
  <c r="A18" i="2" s="1"/>
  <c r="A12" i="2"/>
  <c r="A19" i="2" s="1"/>
  <c r="A45" i="2"/>
  <c r="A59" i="2"/>
  <c r="C17" i="2"/>
  <c r="C23" i="2" s="1"/>
  <c r="C42" i="2" s="1"/>
  <c r="A58" i="2"/>
  <c r="B17" i="2"/>
  <c r="B23" i="2" s="1"/>
  <c r="B42" i="2" s="1"/>
  <c r="D59" i="1"/>
  <c r="B43" i="1"/>
  <c r="C36" i="1"/>
  <c r="G36" i="1" s="1"/>
  <c r="B47" i="1"/>
  <c r="B56" i="1" s="1"/>
  <c r="C47" i="1"/>
  <c r="B57" i="1" s="1"/>
  <c r="D47" i="1"/>
  <c r="B58" i="1" s="1"/>
  <c r="B59" i="1" l="1"/>
  <c r="B50" i="1"/>
  <c r="B52" i="1" s="1"/>
  <c r="C59" i="1"/>
  <c r="C56" i="1" l="1"/>
  <c r="E56" i="1" s="1"/>
  <c r="C58" i="1"/>
  <c r="E58" i="1" s="1"/>
  <c r="C57" i="1"/>
  <c r="E57" i="1" s="1"/>
  <c r="E59" i="1" l="1"/>
</calcChain>
</file>

<file path=xl/sharedStrings.xml><?xml version="1.0" encoding="utf-8"?>
<sst xmlns="http://schemas.openxmlformats.org/spreadsheetml/2006/main" count="96" uniqueCount="46">
  <si>
    <r>
      <t>1)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Calculez le coût cible</t>
    </r>
  </si>
  <si>
    <t>Prix de vente</t>
  </si>
  <si>
    <t xml:space="preserve">– </t>
  </si>
  <si>
    <t xml:space="preserve">marge </t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</si>
  <si>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Déterminez la part de chaque composant dans la structure du coût cible</t>
    </r>
  </si>
  <si>
    <t>Fonctions</t>
  </si>
  <si>
    <t>Composants</t>
  </si>
  <si>
    <t>Total</t>
  </si>
  <si>
    <t>Coût cible</t>
  </si>
  <si>
    <t>Coût estimé</t>
  </si>
  <si>
    <t>Ecart</t>
  </si>
  <si>
    <t>En %</t>
  </si>
  <si>
    <t>En euros</t>
  </si>
  <si>
    <t>= coût cible</t>
  </si>
  <si>
    <t>Degré d’importance des fonctions (analyse fonctionnelle) :</t>
  </si>
  <si>
    <t>Pourcentage</t>
  </si>
  <si>
    <r>
      <t>Questions</t>
    </r>
    <r>
      <rPr>
        <b/>
        <sz val="11"/>
        <color theme="1"/>
        <rFont val="Calibri"/>
        <family val="2"/>
        <scheme val="minor"/>
      </rPr>
      <t> :</t>
    </r>
  </si>
  <si>
    <t>Confort</t>
  </si>
  <si>
    <t>=</t>
  </si>
  <si>
    <t>TVA :</t>
  </si>
  <si>
    <t>Prix cible TTC :</t>
  </si>
  <si>
    <t>du prix de vente HT</t>
  </si>
  <si>
    <t xml:space="preserve">Marge bénéficiaire attendue : </t>
  </si>
  <si>
    <t>x</t>
  </si>
  <si>
    <t xml:space="preserve">Coût cible global = </t>
  </si>
  <si>
    <t xml:space="preserve">Coût estimé = </t>
  </si>
  <si>
    <t>Ecart = coût estimé – coût cible =</t>
  </si>
  <si>
    <t>4)    Commentez cet écart : que doit faire l'entreprise ?</t>
  </si>
  <si>
    <t>4)    Commentez cet écart : que doit faire l'entreprise ? (1 point)</t>
  </si>
  <si>
    <r>
      <t>1)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Calculez le coût cible (1,5 points)</t>
    </r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</si>
  <si>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Calculez le coût cible par composant et évaluez l’écart avec le coût estimé (1,5 points)</t>
    </r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</si>
  <si>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Calculez le coût cible par composant et évaluez l’écart avec le coût estimé</t>
    </r>
  </si>
  <si>
    <t>Contribution de chaque composant à la satisfaction des fonctions (résultats issus d'une étude de marché) :</t>
  </si>
  <si>
    <t>Coût estimé de chaque composant (résultats issus d'une analyse du bureau d'études de l'entreprise) :</t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</si>
  <si>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Déterminez la part en pourcentage de chaque composant dans la structure du coût cible (1 point)</t>
    </r>
  </si>
  <si>
    <t xml:space="preserve">Coût estimé global  = </t>
  </si>
  <si>
    <t>Les données de l'étude sont :</t>
  </si>
  <si>
    <t>La société AERONEF fabrique et commercialise des avions. Elle souhaite développer des avions très innovants avec de nouvelles motorisations</t>
  </si>
  <si>
    <t>Carlingue</t>
  </si>
  <si>
    <t>Moteur</t>
  </si>
  <si>
    <t>Equipement électronique</t>
  </si>
  <si>
    <t>Vitesse</t>
  </si>
  <si>
    <t>Elle doit travailler en priorité sur le moteur dont le coût estimé est très supérieur au coût cible.</t>
  </si>
  <si>
    <t>L'entreprise peut chercher un nouveau fournisseur de moteur, mais aussi faire de la recherche et développement pour optimiser sa motorisation et en baisser ainsi le coût.</t>
  </si>
  <si>
    <t>Facilité de Pilotage</t>
  </si>
  <si>
    <t>Globalement, le coût estimé est supérieur de 13 333,33 € donc l'entreprise doit réduire ses coûts.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</si>
</sst>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_-* #,##0\ &quot;€&quot;_-;\-* #,##0\ &quot;€&quot;_-;_-* &quot;-&quot;??\ &quot;€&quot;_-;_-@_-"/>
    <numFmt numFmtId="166" formatCode="#,##0\ &quot;€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left" vertical="center" indent="4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10" fontId="0" fillId="0" borderId="6" xfId="0" applyNumberForma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9" fontId="0" fillId="0" borderId="0" xfId="0" applyNumberFormat="1"/>
    <xf numFmtId="9" fontId="0" fillId="0" borderId="6" xfId="0" applyNumberForma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6" fontId="0" fillId="0" borderId="0" xfId="0" applyNumberFormat="1"/>
    <xf numFmtId="0" fontId="0" fillId="0" borderId="7" xfId="0" quotePrefix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6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6" fontId="7" fillId="0" borderId="0" xfId="0" applyNumberFormat="1" applyFont="1"/>
    <xf numFmtId="2" fontId="8" fillId="0" borderId="0" xfId="2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8" fontId="0" fillId="0" borderId="0" xfId="0" applyNumberFormat="1"/>
    <xf numFmtId="0" fontId="0" fillId="0" borderId="0" xfId="0" applyAlignment="1">
      <alignment horizontal="right" vertical="center"/>
    </xf>
    <xf numFmtId="10" fontId="0" fillId="0" borderId="6" xfId="2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0" fontId="0" fillId="0" borderId="3" xfId="2" applyNumberFormat="1" applyFont="1" applyBorder="1" applyAlignment="1">
      <alignment horizontal="center" vertical="center" wrapText="1"/>
    </xf>
    <xf numFmtId="8" fontId="0" fillId="0" borderId="0" xfId="0" applyNumberFormat="1" applyAlignment="1">
      <alignment horizontal="left"/>
    </xf>
    <xf numFmtId="44" fontId="0" fillId="0" borderId="0" xfId="0" applyNumberFormat="1"/>
    <xf numFmtId="8" fontId="9" fillId="0" borderId="0" xfId="0" applyNumberFormat="1" applyFont="1"/>
    <xf numFmtId="164" fontId="0" fillId="0" borderId="6" xfId="0" applyNumberForma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 wrapText="1"/>
    </xf>
    <xf numFmtId="165" fontId="2" fillId="0" borderId="6" xfId="1" applyNumberFormat="1" applyFont="1" applyBorder="1" applyAlignment="1">
      <alignment horizontal="center" vertical="center" wrapText="1"/>
    </xf>
    <xf numFmtId="9" fontId="0" fillId="0" borderId="6" xfId="0" applyNumberFormat="1" applyBorder="1" applyAlignment="1">
      <alignment horizontal="right" vertical="center" wrapText="1"/>
    </xf>
    <xf numFmtId="9" fontId="0" fillId="0" borderId="6" xfId="2" applyFont="1" applyBorder="1" applyAlignment="1">
      <alignment horizontal="right" vertical="center" wrapText="1"/>
    </xf>
    <xf numFmtId="9" fontId="0" fillId="0" borderId="3" xfId="2" applyFont="1" applyBorder="1" applyAlignment="1">
      <alignment horizontal="right" vertical="center" wrapText="1"/>
    </xf>
    <xf numFmtId="9" fontId="2" fillId="0" borderId="6" xfId="0" applyNumberFormat="1" applyFont="1" applyBorder="1" applyAlignment="1">
      <alignment horizontal="right" vertical="center" wrapText="1"/>
    </xf>
    <xf numFmtId="166" fontId="0" fillId="0" borderId="6" xfId="0" applyNumberFormat="1" applyBorder="1" applyAlignment="1">
      <alignment horizontal="center" vertical="center" wrapText="1"/>
    </xf>
    <xf numFmtId="166" fontId="2" fillId="0" borderId="6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3" borderId="9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C0E2-B492-45AB-A2DD-5186BA30F93F}">
  <dimension ref="A1:G64"/>
  <sheetViews>
    <sheetView topLeftCell="A4" workbookViewId="0">
      <selection activeCell="B18" sqref="B18"/>
    </sheetView>
  </sheetViews>
  <sheetFormatPr baseColWidth="10" defaultRowHeight="14.5" x14ac:dyDescent="0.35"/>
  <cols>
    <col min="1" max="1" width="28.453125" customWidth="1"/>
    <col min="2" max="5" width="15.6328125" customWidth="1"/>
    <col min="6" max="6" width="3.08984375" customWidth="1"/>
    <col min="7" max="7" width="15.6328125" customWidth="1"/>
  </cols>
  <sheetData>
    <row r="1" spans="1:4" ht="15" thickBot="1" x14ac:dyDescent="0.4">
      <c r="A1" s="2" t="str">
        <f>+correction!A1</f>
        <v>La société AERONEF fabrique et commercialise des avions. Elle souhaite développer des avions très innovants avec de nouvelles motorisations</v>
      </c>
    </row>
    <row r="2" spans="1:4" ht="15" thickBot="1" x14ac:dyDescent="0.4">
      <c r="A2" s="18" t="s">
        <v>6</v>
      </c>
      <c r="B2" s="13" t="s">
        <v>5</v>
      </c>
    </row>
    <row r="3" spans="1:4" x14ac:dyDescent="0.35">
      <c r="A3" s="24" t="str">
        <f>+correction!A4</f>
        <v>Carlingue</v>
      </c>
      <c r="B3" s="5" t="str">
        <f>+correction!B4</f>
        <v>Confort</v>
      </c>
    </row>
    <row r="4" spans="1:4" x14ac:dyDescent="0.35">
      <c r="A4" s="25" t="str">
        <f>+correction!A5</f>
        <v>Moteur</v>
      </c>
      <c r="B4" s="5" t="str">
        <f>+correction!B5</f>
        <v>Vitesse</v>
      </c>
    </row>
    <row r="5" spans="1:4" ht="29.5" thickBot="1" x14ac:dyDescent="0.4">
      <c r="A5" s="20" t="str">
        <f>+correction!A6</f>
        <v>Equipement électronique</v>
      </c>
      <c r="B5" s="6" t="str">
        <f>+correction!B6</f>
        <v>Facilité de Pilotage</v>
      </c>
    </row>
    <row r="6" spans="1:4" x14ac:dyDescent="0.35">
      <c r="A6" s="2"/>
    </row>
    <row r="7" spans="1:4" x14ac:dyDescent="0.35">
      <c r="A7" s="2" t="s">
        <v>20</v>
      </c>
      <c r="B7" s="23">
        <f>+correction!B8</f>
        <v>100000</v>
      </c>
      <c r="C7" s="22" t="s">
        <v>19</v>
      </c>
      <c r="D7" s="26">
        <v>0.2</v>
      </c>
    </row>
    <row r="8" spans="1:4" x14ac:dyDescent="0.35">
      <c r="A8" s="2" t="s">
        <v>22</v>
      </c>
      <c r="B8" s="10">
        <f>+correction!B9</f>
        <v>0.2</v>
      </c>
      <c r="C8" t="s">
        <v>21</v>
      </c>
    </row>
    <row r="9" spans="1:4" ht="15" thickBot="1" x14ac:dyDescent="0.4">
      <c r="A9" s="2" t="s">
        <v>14</v>
      </c>
    </row>
    <row r="10" spans="1:4" ht="15" thickBot="1" x14ac:dyDescent="0.4">
      <c r="A10" s="18" t="s">
        <v>5</v>
      </c>
      <c r="B10" s="13" t="s">
        <v>15</v>
      </c>
    </row>
    <row r="11" spans="1:4" ht="15" thickBot="1" x14ac:dyDescent="0.4">
      <c r="A11" s="14" t="str">
        <f>B3</f>
        <v>Confort</v>
      </c>
      <c r="B11" s="11">
        <f>+correction!B12</f>
        <v>0.1</v>
      </c>
    </row>
    <row r="12" spans="1:4" ht="15" thickBot="1" x14ac:dyDescent="0.4">
      <c r="A12" s="14" t="str">
        <f>B4</f>
        <v>Vitesse</v>
      </c>
      <c r="B12" s="11">
        <f>+correction!B13</f>
        <v>0.3</v>
      </c>
    </row>
    <row r="13" spans="1:4" ht="15" thickBot="1" x14ac:dyDescent="0.4">
      <c r="A13" s="14" t="str">
        <f>B5</f>
        <v>Facilité de Pilotage</v>
      </c>
      <c r="B13" s="11">
        <f>+correction!B14</f>
        <v>0.6</v>
      </c>
    </row>
    <row r="14" spans="1:4" x14ac:dyDescent="0.35">
      <c r="A14" s="2"/>
    </row>
    <row r="15" spans="1:4" ht="15" thickBot="1" x14ac:dyDescent="0.4">
      <c r="A15" s="2" t="s">
        <v>32</v>
      </c>
    </row>
    <row r="16" spans="1:4" ht="15" thickBot="1" x14ac:dyDescent="0.4">
      <c r="A16" s="51" t="s">
        <v>5</v>
      </c>
      <c r="B16" s="53" t="s">
        <v>6</v>
      </c>
      <c r="C16" s="55"/>
      <c r="D16" s="54"/>
    </row>
    <row r="17" spans="1:5" ht="29.5" thickBot="1" x14ac:dyDescent="0.4">
      <c r="A17" s="52"/>
      <c r="B17" s="4" t="str">
        <f>+A3</f>
        <v>Carlingue</v>
      </c>
      <c r="C17" s="4" t="str">
        <f>+A4</f>
        <v>Moteur</v>
      </c>
      <c r="D17" s="4" t="str">
        <f>+A5</f>
        <v>Equipement électronique</v>
      </c>
    </row>
    <row r="18" spans="1:5" ht="15" thickBot="1" x14ac:dyDescent="0.4">
      <c r="A18" s="15" t="str">
        <f>+A11</f>
        <v>Confort</v>
      </c>
      <c r="B18" s="11">
        <v>0.4</v>
      </c>
      <c r="C18" s="11">
        <v>0.1</v>
      </c>
      <c r="D18" s="11">
        <v>0.5</v>
      </c>
    </row>
    <row r="19" spans="1:5" ht="15" thickBot="1" x14ac:dyDescent="0.4">
      <c r="A19" s="15" t="str">
        <f>+A12</f>
        <v>Vitesse</v>
      </c>
      <c r="B19" s="11">
        <v>0.5</v>
      </c>
      <c r="C19" s="11">
        <v>0.1</v>
      </c>
      <c r="D19" s="11">
        <v>0.4</v>
      </c>
    </row>
    <row r="20" spans="1:5" ht="15" thickBot="1" x14ac:dyDescent="0.4">
      <c r="A20" s="15" t="str">
        <f>+A13</f>
        <v>Facilité de Pilotage</v>
      </c>
      <c r="B20" s="11">
        <v>0.2</v>
      </c>
      <c r="C20" s="11">
        <v>0.2</v>
      </c>
      <c r="D20" s="11">
        <v>0.6</v>
      </c>
    </row>
    <row r="21" spans="1:5" x14ac:dyDescent="0.35">
      <c r="A21" s="2"/>
    </row>
    <row r="22" spans="1:5" ht="15" thickBot="1" x14ac:dyDescent="0.4">
      <c r="A22" s="2" t="s">
        <v>33</v>
      </c>
    </row>
    <row r="23" spans="1:5" ht="29.5" thickBot="1" x14ac:dyDescent="0.4">
      <c r="A23" s="19"/>
      <c r="B23" s="13" t="str">
        <f>+B17</f>
        <v>Carlingue</v>
      </c>
      <c r="C23" s="13" t="str">
        <f>+C17</f>
        <v>Moteur</v>
      </c>
      <c r="D23" s="13" t="str">
        <f>+D17</f>
        <v>Equipement électronique</v>
      </c>
      <c r="E23" s="13" t="s">
        <v>7</v>
      </c>
    </row>
    <row r="24" spans="1:5" ht="15" thickBot="1" x14ac:dyDescent="0.4">
      <c r="A24" s="20" t="s">
        <v>9</v>
      </c>
      <c r="B24" s="43">
        <f>+correction!B25</f>
        <v>30000</v>
      </c>
      <c r="C24" s="43">
        <f>+correction!C25</f>
        <v>40000</v>
      </c>
      <c r="D24" s="43">
        <f>+correction!D25</f>
        <v>10000</v>
      </c>
      <c r="E24" s="44">
        <f>SUM(B24:D24)</f>
        <v>80000</v>
      </c>
    </row>
    <row r="25" spans="1:5" x14ac:dyDescent="0.35">
      <c r="A25" s="16"/>
    </row>
    <row r="26" spans="1:5" x14ac:dyDescent="0.35">
      <c r="A26" s="21" t="s">
        <v>16</v>
      </c>
    </row>
    <row r="27" spans="1:5" x14ac:dyDescent="0.35">
      <c r="A27" s="1" t="s">
        <v>0</v>
      </c>
    </row>
    <row r="28" spans="1:5" x14ac:dyDescent="0.35">
      <c r="A28" s="1" t="s">
        <v>4</v>
      </c>
    </row>
    <row r="29" spans="1:5" x14ac:dyDescent="0.35">
      <c r="A29" s="1" t="s">
        <v>31</v>
      </c>
    </row>
    <row r="30" spans="1:5" x14ac:dyDescent="0.35">
      <c r="A30" s="1" t="s">
        <v>27</v>
      </c>
    </row>
    <row r="33" spans="1:7" x14ac:dyDescent="0.35">
      <c r="A33" s="1" t="s">
        <v>29</v>
      </c>
    </row>
    <row r="34" spans="1:7" x14ac:dyDescent="0.35">
      <c r="A34" s="16"/>
      <c r="B34" s="16"/>
      <c r="C34" s="16"/>
      <c r="F34" s="17"/>
      <c r="G34" s="17"/>
    </row>
    <row r="35" spans="1:7" ht="15.5" x14ac:dyDescent="0.35">
      <c r="A35" s="28"/>
      <c r="B35" s="16"/>
      <c r="C35" s="30"/>
      <c r="D35" s="27"/>
      <c r="E35" s="26"/>
      <c r="G35" s="38"/>
    </row>
    <row r="36" spans="1:7" ht="15.5" x14ac:dyDescent="0.35">
      <c r="A36" s="31"/>
      <c r="B36" s="29"/>
      <c r="C36" s="32"/>
    </row>
    <row r="37" spans="1:7" ht="18.5" x14ac:dyDescent="0.35">
      <c r="C37" s="3"/>
      <c r="D37" s="3"/>
    </row>
    <row r="38" spans="1:7" ht="18.5" x14ac:dyDescent="0.35">
      <c r="A38" s="3"/>
    </row>
    <row r="39" spans="1:7" x14ac:dyDescent="0.35">
      <c r="A39" s="1" t="s">
        <v>34</v>
      </c>
    </row>
    <row r="40" spans="1:7" ht="15" thickBot="1" x14ac:dyDescent="0.4">
      <c r="A40" s="1"/>
    </row>
    <row r="41" spans="1:7" ht="15" thickBot="1" x14ac:dyDescent="0.4">
      <c r="A41" s="51" t="s">
        <v>5</v>
      </c>
      <c r="B41" s="63" t="s">
        <v>6</v>
      </c>
      <c r="C41" s="64"/>
      <c r="D41" s="65"/>
    </row>
    <row r="42" spans="1:7" ht="29.5" thickBot="1" x14ac:dyDescent="0.4">
      <c r="A42" s="52"/>
      <c r="B42" s="4" t="str">
        <f>B23</f>
        <v>Carlingue</v>
      </c>
      <c r="C42" s="4" t="str">
        <f t="shared" ref="C42:D42" si="0">C23</f>
        <v>Moteur</v>
      </c>
      <c r="D42" s="4" t="str">
        <f t="shared" si="0"/>
        <v>Equipement électronique</v>
      </c>
    </row>
    <row r="43" spans="1:7" ht="28.5" customHeight="1" x14ac:dyDescent="0.35">
      <c r="A43" s="61" t="str">
        <f>B3</f>
        <v>Confort</v>
      </c>
      <c r="B43" s="5"/>
      <c r="C43" s="5"/>
      <c r="D43" s="5"/>
    </row>
    <row r="44" spans="1:7" ht="28.5" customHeight="1" thickBot="1" x14ac:dyDescent="0.4">
      <c r="A44" s="62"/>
      <c r="B44" s="8"/>
      <c r="C44" s="8"/>
      <c r="D44" s="35"/>
    </row>
    <row r="45" spans="1:7" ht="28.5" customHeight="1" x14ac:dyDescent="0.35">
      <c r="A45" s="61" t="str">
        <f>B4</f>
        <v>Vitesse</v>
      </c>
      <c r="B45" s="5"/>
      <c r="C45" s="5"/>
      <c r="D45" s="36"/>
    </row>
    <row r="46" spans="1:7" ht="28.5" customHeight="1" thickBot="1" x14ac:dyDescent="0.4">
      <c r="A46" s="62"/>
      <c r="B46" s="8"/>
      <c r="C46" s="35"/>
      <c r="D46" s="37"/>
    </row>
    <row r="47" spans="1:7" ht="28.5" customHeight="1" x14ac:dyDescent="0.35">
      <c r="A47" s="61" t="str">
        <f>B5</f>
        <v>Facilité de Pilotage</v>
      </c>
      <c r="B47" s="5"/>
      <c r="C47" s="5"/>
      <c r="D47" s="5"/>
    </row>
    <row r="48" spans="1:7" ht="28.5" customHeight="1" thickBot="1" x14ac:dyDescent="0.4">
      <c r="A48" s="62"/>
      <c r="B48" s="8"/>
      <c r="C48" s="35"/>
      <c r="D48" s="35"/>
    </row>
    <row r="49" spans="1:5" ht="28.5" customHeight="1" thickBot="1" x14ac:dyDescent="0.4">
      <c r="A49" s="7" t="s">
        <v>7</v>
      </c>
      <c r="B49" s="9"/>
      <c r="C49" s="9"/>
      <c r="D49" s="9"/>
    </row>
    <row r="50" spans="1:5" x14ac:dyDescent="0.35">
      <c r="A50" s="2"/>
    </row>
    <row r="51" spans="1:5" x14ac:dyDescent="0.35">
      <c r="A51" s="1" t="s">
        <v>30</v>
      </c>
    </row>
    <row r="52" spans="1:5" x14ac:dyDescent="0.35">
      <c r="A52" s="34" t="s">
        <v>24</v>
      </c>
      <c r="B52" s="33"/>
    </row>
    <row r="53" spans="1:5" x14ac:dyDescent="0.35">
      <c r="A53" s="34" t="s">
        <v>35</v>
      </c>
      <c r="B53" s="39"/>
    </row>
    <row r="54" spans="1:5" x14ac:dyDescent="0.35">
      <c r="A54" s="2"/>
      <c r="B54" s="40"/>
    </row>
    <row r="55" spans="1:5" ht="15" thickBot="1" x14ac:dyDescent="0.4">
      <c r="A55" s="2"/>
      <c r="B55" s="40"/>
    </row>
    <row r="56" spans="1:5" ht="15" thickBot="1" x14ac:dyDescent="0.4">
      <c r="A56" s="51" t="s">
        <v>6</v>
      </c>
      <c r="B56" s="53" t="s">
        <v>8</v>
      </c>
      <c r="C56" s="54"/>
      <c r="D56" s="13" t="s">
        <v>9</v>
      </c>
      <c r="E56" s="13" t="s">
        <v>10</v>
      </c>
    </row>
    <row r="57" spans="1:5" ht="15" thickBot="1" x14ac:dyDescent="0.4">
      <c r="A57" s="52"/>
      <c r="B57" s="4" t="s">
        <v>11</v>
      </c>
      <c r="C57" s="4" t="s">
        <v>12</v>
      </c>
      <c r="D57" s="4" t="s">
        <v>12</v>
      </c>
      <c r="E57" s="4" t="s">
        <v>12</v>
      </c>
    </row>
    <row r="58" spans="1:5" ht="29.5" customHeight="1" thickBot="1" x14ac:dyDescent="0.4">
      <c r="A58" s="15" t="str">
        <f>A3</f>
        <v>Carlingue</v>
      </c>
      <c r="B58" s="8"/>
      <c r="C58" s="41"/>
      <c r="D58" s="41"/>
      <c r="E58" s="41"/>
    </row>
    <row r="59" spans="1:5" ht="29.5" customHeight="1" thickBot="1" x14ac:dyDescent="0.4">
      <c r="A59" s="15" t="str">
        <f>A4</f>
        <v>Moteur</v>
      </c>
      <c r="B59" s="8"/>
      <c r="C59" s="41"/>
      <c r="D59" s="41"/>
      <c r="E59" s="41"/>
    </row>
    <row r="60" spans="1:5" ht="29.5" customHeight="1" thickBot="1" x14ac:dyDescent="0.4">
      <c r="A60" s="15" t="str">
        <f>A5</f>
        <v>Equipement électronique</v>
      </c>
      <c r="B60" s="8"/>
      <c r="C60" s="41"/>
      <c r="D60" s="41"/>
      <c r="E60" s="41"/>
    </row>
    <row r="61" spans="1:5" ht="29.5" customHeight="1" thickBot="1" x14ac:dyDescent="0.4">
      <c r="A61" s="7" t="s">
        <v>7</v>
      </c>
      <c r="B61" s="12"/>
      <c r="C61" s="42"/>
      <c r="D61" s="42"/>
      <c r="E61" s="42"/>
    </row>
    <row r="62" spans="1:5" x14ac:dyDescent="0.35">
      <c r="A62" s="16"/>
    </row>
    <row r="63" spans="1:5" x14ac:dyDescent="0.35">
      <c r="A63" s="1" t="s">
        <v>28</v>
      </c>
    </row>
    <row r="64" spans="1:5" x14ac:dyDescent="0.35">
      <c r="A64" s="2"/>
    </row>
  </sheetData>
  <mergeCells count="9">
    <mergeCell ref="A47:A48"/>
    <mergeCell ref="A56:A57"/>
    <mergeCell ref="B56:C56"/>
    <mergeCell ref="A16:A17"/>
    <mergeCell ref="B16:D16"/>
    <mergeCell ref="A41:A42"/>
    <mergeCell ref="B41:D41"/>
    <mergeCell ref="A43:A44"/>
    <mergeCell ref="A45:A4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F882-B8EA-46F4-93CB-AB6635DF2238}">
  <sheetPr>
    <pageSetUpPr fitToPage="1"/>
  </sheetPr>
  <dimension ref="A1:G64"/>
  <sheetViews>
    <sheetView showGridLines="0" tabSelected="1" topLeftCell="A31" workbookViewId="0">
      <selection activeCell="B44" sqref="B44"/>
    </sheetView>
  </sheetViews>
  <sheetFormatPr baseColWidth="10" defaultRowHeight="14.5" x14ac:dyDescent="0.35"/>
  <cols>
    <col min="1" max="1" width="28.453125" customWidth="1"/>
    <col min="2" max="5" width="15.6328125" customWidth="1"/>
    <col min="6" max="6" width="3.08984375" customWidth="1"/>
    <col min="7" max="7" width="15.6328125" customWidth="1"/>
  </cols>
  <sheetData>
    <row r="1" spans="1:4" ht="24" customHeight="1" x14ac:dyDescent="0.35">
      <c r="A1" s="2" t="s">
        <v>37</v>
      </c>
    </row>
    <row r="2" spans="1:4" ht="24" customHeight="1" thickBot="1" x14ac:dyDescent="0.4">
      <c r="A2" s="2" t="s">
        <v>36</v>
      </c>
    </row>
    <row r="3" spans="1:4" ht="15" thickBot="1" x14ac:dyDescent="0.4">
      <c r="A3" s="18" t="s">
        <v>6</v>
      </c>
      <c r="B3" s="13" t="s">
        <v>5</v>
      </c>
    </row>
    <row r="4" spans="1:4" x14ac:dyDescent="0.35">
      <c r="A4" s="24" t="s">
        <v>38</v>
      </c>
      <c r="B4" s="5" t="s">
        <v>17</v>
      </c>
    </row>
    <row r="5" spans="1:4" x14ac:dyDescent="0.35">
      <c r="A5" s="25" t="s">
        <v>39</v>
      </c>
      <c r="B5" s="5" t="s">
        <v>41</v>
      </c>
    </row>
    <row r="6" spans="1:4" ht="29.5" thickBot="1" x14ac:dyDescent="0.4">
      <c r="A6" s="20" t="s">
        <v>40</v>
      </c>
      <c r="B6" s="6" t="s">
        <v>44</v>
      </c>
    </row>
    <row r="7" spans="1:4" x14ac:dyDescent="0.35">
      <c r="A7" s="2"/>
    </row>
    <row r="8" spans="1:4" x14ac:dyDescent="0.35">
      <c r="A8" s="2" t="s">
        <v>20</v>
      </c>
      <c r="B8" s="23">
        <v>100000</v>
      </c>
      <c r="C8" s="22" t="s">
        <v>19</v>
      </c>
      <c r="D8" s="26">
        <v>0.2</v>
      </c>
    </row>
    <row r="9" spans="1:4" x14ac:dyDescent="0.35">
      <c r="A9" s="2" t="s">
        <v>22</v>
      </c>
      <c r="B9" s="10">
        <v>0.2</v>
      </c>
      <c r="C9" t="s">
        <v>21</v>
      </c>
    </row>
    <row r="10" spans="1:4" ht="15" thickBot="1" x14ac:dyDescent="0.4">
      <c r="A10" s="2" t="s">
        <v>14</v>
      </c>
    </row>
    <row r="11" spans="1:4" ht="15" thickBot="1" x14ac:dyDescent="0.4">
      <c r="A11" s="18" t="s">
        <v>5</v>
      </c>
      <c r="B11" s="13" t="s">
        <v>15</v>
      </c>
    </row>
    <row r="12" spans="1:4" ht="15" thickBot="1" x14ac:dyDescent="0.4">
      <c r="A12" s="14" t="str">
        <f>B4</f>
        <v>Confort</v>
      </c>
      <c r="B12" s="11">
        <v>0.1</v>
      </c>
    </row>
    <row r="13" spans="1:4" ht="15" thickBot="1" x14ac:dyDescent="0.4">
      <c r="A13" s="14" t="str">
        <f>B5</f>
        <v>Vitesse</v>
      </c>
      <c r="B13" s="11">
        <v>0.3</v>
      </c>
    </row>
    <row r="14" spans="1:4" ht="15" thickBot="1" x14ac:dyDescent="0.4">
      <c r="A14" s="14" t="str">
        <f>B6</f>
        <v>Facilité de Pilotage</v>
      </c>
      <c r="B14" s="11">
        <v>0.6</v>
      </c>
    </row>
    <row r="15" spans="1:4" x14ac:dyDescent="0.35">
      <c r="A15" s="2"/>
    </row>
    <row r="16" spans="1:4" ht="15" thickBot="1" x14ac:dyDescent="0.4">
      <c r="A16" s="2" t="s">
        <v>32</v>
      </c>
    </row>
    <row r="17" spans="1:5" ht="15" thickBot="1" x14ac:dyDescent="0.4">
      <c r="A17" s="51" t="s">
        <v>5</v>
      </c>
      <c r="B17" s="53" t="s">
        <v>6</v>
      </c>
      <c r="C17" s="55"/>
      <c r="D17" s="54"/>
    </row>
    <row r="18" spans="1:5" ht="38" customHeight="1" thickBot="1" x14ac:dyDescent="0.4">
      <c r="A18" s="52"/>
      <c r="B18" s="4" t="str">
        <f>+A4</f>
        <v>Carlingue</v>
      </c>
      <c r="C18" s="4" t="str">
        <f>+A5</f>
        <v>Moteur</v>
      </c>
      <c r="D18" s="4" t="str">
        <f>+A6</f>
        <v>Equipement électronique</v>
      </c>
    </row>
    <row r="19" spans="1:5" ht="15" thickBot="1" x14ac:dyDescent="0.4">
      <c r="A19" s="15" t="str">
        <f>+A12</f>
        <v>Confort</v>
      </c>
      <c r="B19" s="11">
        <v>0.4</v>
      </c>
      <c r="C19" s="11">
        <v>0.1</v>
      </c>
      <c r="D19" s="11">
        <v>0.5</v>
      </c>
    </row>
    <row r="20" spans="1:5" ht="15" thickBot="1" x14ac:dyDescent="0.4">
      <c r="A20" s="15" t="str">
        <f>+A13</f>
        <v>Vitesse</v>
      </c>
      <c r="B20" s="11">
        <v>0.5</v>
      </c>
      <c r="C20" s="11">
        <v>0.1</v>
      </c>
      <c r="D20" s="11">
        <v>0.4</v>
      </c>
    </row>
    <row r="21" spans="1:5" ht="15" thickBot="1" x14ac:dyDescent="0.4">
      <c r="A21" s="15" t="str">
        <f>+A14</f>
        <v>Facilité de Pilotage</v>
      </c>
      <c r="B21" s="11">
        <v>0.2</v>
      </c>
      <c r="C21" s="11">
        <v>0.2</v>
      </c>
      <c r="D21" s="11">
        <v>0.6</v>
      </c>
    </row>
    <row r="22" spans="1:5" x14ac:dyDescent="0.35">
      <c r="A22" s="2"/>
    </row>
    <row r="23" spans="1:5" ht="15" thickBot="1" x14ac:dyDescent="0.4">
      <c r="A23" s="2" t="s">
        <v>33</v>
      </c>
    </row>
    <row r="24" spans="1:5" ht="39.5" customHeight="1" thickBot="1" x14ac:dyDescent="0.4">
      <c r="A24" s="19"/>
      <c r="B24" s="13" t="str">
        <f>+B18</f>
        <v>Carlingue</v>
      </c>
      <c r="C24" s="13" t="str">
        <f>+C18</f>
        <v>Moteur</v>
      </c>
      <c r="D24" s="13" t="str">
        <f>+D18</f>
        <v>Equipement électronique</v>
      </c>
      <c r="E24" s="13" t="s">
        <v>7</v>
      </c>
    </row>
    <row r="25" spans="1:5" ht="15" thickBot="1" x14ac:dyDescent="0.4">
      <c r="A25" s="20" t="s">
        <v>9</v>
      </c>
      <c r="B25" s="43">
        <v>30000</v>
      </c>
      <c r="C25" s="43">
        <v>40000</v>
      </c>
      <c r="D25" s="43">
        <v>10000</v>
      </c>
      <c r="E25" s="44">
        <f>SUM(B25:D25)</f>
        <v>80000</v>
      </c>
    </row>
    <row r="26" spans="1:5" x14ac:dyDescent="0.35">
      <c r="A26" s="16"/>
    </row>
    <row r="27" spans="1:5" x14ac:dyDescent="0.35">
      <c r="A27" s="21" t="s">
        <v>16</v>
      </c>
    </row>
    <row r="28" spans="1:5" x14ac:dyDescent="0.35">
      <c r="A28" s="1" t="s">
        <v>0</v>
      </c>
    </row>
    <row r="29" spans="1:5" x14ac:dyDescent="0.35">
      <c r="A29" s="1" t="s">
        <v>4</v>
      </c>
    </row>
    <row r="30" spans="1:5" x14ac:dyDescent="0.35">
      <c r="A30" s="1" t="s">
        <v>31</v>
      </c>
    </row>
    <row r="31" spans="1:5" x14ac:dyDescent="0.35">
      <c r="A31" s="1" t="s">
        <v>27</v>
      </c>
    </row>
    <row r="34" spans="1:7" x14ac:dyDescent="0.35">
      <c r="A34" s="1" t="s">
        <v>29</v>
      </c>
    </row>
    <row r="35" spans="1:7" x14ac:dyDescent="0.35">
      <c r="A35" s="16" t="s">
        <v>1</v>
      </c>
      <c r="B35" s="16" t="s">
        <v>2</v>
      </c>
      <c r="C35" s="16" t="s">
        <v>3</v>
      </c>
      <c r="F35" s="17" t="s">
        <v>18</v>
      </c>
      <c r="G35" s="17" t="s">
        <v>13</v>
      </c>
    </row>
    <row r="36" spans="1:7" ht="15.5" x14ac:dyDescent="0.35">
      <c r="A36" s="28">
        <f>+B8</f>
        <v>100000</v>
      </c>
      <c r="B36" s="16" t="s">
        <v>2</v>
      </c>
      <c r="C36" s="30">
        <f>+A36</f>
        <v>100000</v>
      </c>
      <c r="D36" s="27" t="s">
        <v>23</v>
      </c>
      <c r="E36" s="26">
        <f>+B9</f>
        <v>0.2</v>
      </c>
      <c r="F36" t="s">
        <v>18</v>
      </c>
      <c r="G36" s="38">
        <f>(A36/A37)-(C36/C37*E36)</f>
        <v>66666.666666666672</v>
      </c>
    </row>
    <row r="37" spans="1:7" ht="15.5" x14ac:dyDescent="0.35">
      <c r="A37" s="31">
        <f>1+D8</f>
        <v>1.2</v>
      </c>
      <c r="B37" s="29"/>
      <c r="C37" s="32">
        <f>+A37</f>
        <v>1.2</v>
      </c>
    </row>
    <row r="38" spans="1:7" ht="18.5" x14ac:dyDescent="0.35">
      <c r="C38" s="3"/>
      <c r="D38" s="3"/>
    </row>
    <row r="39" spans="1:7" ht="18.5" x14ac:dyDescent="0.35">
      <c r="A39" s="3"/>
    </row>
    <row r="40" spans="1:7" x14ac:dyDescent="0.35">
      <c r="A40" s="1" t="s">
        <v>34</v>
      </c>
    </row>
    <row r="41" spans="1:7" ht="15" thickBot="1" x14ac:dyDescent="0.4">
      <c r="A41" s="1"/>
    </row>
    <row r="42" spans="1:7" s="34" customFormat="1" ht="15" thickBot="1" x14ac:dyDescent="0.4">
      <c r="A42" s="59" t="s">
        <v>5</v>
      </c>
      <c r="B42" s="56" t="s">
        <v>6</v>
      </c>
      <c r="C42" s="57"/>
      <c r="D42" s="58"/>
    </row>
    <row r="43" spans="1:7" s="34" customFormat="1" ht="31" customHeight="1" thickBot="1" x14ac:dyDescent="0.4">
      <c r="A43" s="60"/>
      <c r="B43" s="4" t="str">
        <f>B24</f>
        <v>Carlingue</v>
      </c>
      <c r="C43" s="4" t="str">
        <f t="shared" ref="C43:D43" si="0">C24</f>
        <v>Moteur</v>
      </c>
      <c r="D43" s="4" t="str">
        <f t="shared" si="0"/>
        <v>Equipement électronique</v>
      </c>
    </row>
    <row r="44" spans="1:7" s="34" customFormat="1" ht="15" thickBot="1" x14ac:dyDescent="0.4">
      <c r="A44" s="15" t="str">
        <f>B4</f>
        <v>Confort</v>
      </c>
      <c r="B44" s="45">
        <f>B12*B19</f>
        <v>4.0000000000000008E-2</v>
      </c>
      <c r="C44" s="45">
        <f>B12*C19</f>
        <v>1.0000000000000002E-2</v>
      </c>
      <c r="D44" s="46">
        <f>B12*D19</f>
        <v>0.05</v>
      </c>
    </row>
    <row r="45" spans="1:7" s="34" customFormat="1" ht="15" thickBot="1" x14ac:dyDescent="0.4">
      <c r="A45" s="15" t="str">
        <f>B5</f>
        <v>Vitesse</v>
      </c>
      <c r="B45" s="45">
        <f>B13*B20</f>
        <v>0.15</v>
      </c>
      <c r="C45" s="46">
        <f>+B13*C20</f>
        <v>0.03</v>
      </c>
      <c r="D45" s="47">
        <f>B13*D20</f>
        <v>0.12</v>
      </c>
    </row>
    <row r="46" spans="1:7" s="34" customFormat="1" ht="15" thickBot="1" x14ac:dyDescent="0.4">
      <c r="A46" s="15" t="str">
        <f>B6</f>
        <v>Facilité de Pilotage</v>
      </c>
      <c r="B46" s="45">
        <f>B14*B21</f>
        <v>0.12</v>
      </c>
      <c r="C46" s="46">
        <f>B14*C21</f>
        <v>0.12</v>
      </c>
      <c r="D46" s="46">
        <f>B14*D21</f>
        <v>0.36</v>
      </c>
    </row>
    <row r="47" spans="1:7" s="34" customFormat="1" ht="15" thickBot="1" x14ac:dyDescent="0.4">
      <c r="A47" s="7" t="s">
        <v>7</v>
      </c>
      <c r="B47" s="48">
        <f>SUM(B44+B45+B46)</f>
        <v>0.31</v>
      </c>
      <c r="C47" s="48">
        <f>SUM(C44+C45+C46)</f>
        <v>0.16</v>
      </c>
      <c r="D47" s="48">
        <f>SUM(D44+D45+D46)</f>
        <v>0.53</v>
      </c>
    </row>
    <row r="48" spans="1:7" x14ac:dyDescent="0.35">
      <c r="A48" s="2"/>
    </row>
    <row r="49" spans="1:5" x14ac:dyDescent="0.35">
      <c r="A49" s="1" t="s">
        <v>30</v>
      </c>
    </row>
    <row r="50" spans="1:5" x14ac:dyDescent="0.35">
      <c r="A50" s="34" t="s">
        <v>24</v>
      </c>
      <c r="B50" s="33">
        <f>+G36</f>
        <v>66666.666666666672</v>
      </c>
    </row>
    <row r="51" spans="1:5" x14ac:dyDescent="0.35">
      <c r="A51" s="34" t="s">
        <v>25</v>
      </c>
      <c r="B51" s="39">
        <f>+E25</f>
        <v>80000</v>
      </c>
    </row>
    <row r="52" spans="1:5" x14ac:dyDescent="0.35">
      <c r="A52" s="2" t="s">
        <v>26</v>
      </c>
      <c r="B52" s="40">
        <f>+B51-B50</f>
        <v>13333.333333333328</v>
      </c>
    </row>
    <row r="53" spans="1:5" ht="15" thickBot="1" x14ac:dyDescent="0.4">
      <c r="A53" s="2"/>
      <c r="B53" s="40"/>
    </row>
    <row r="54" spans="1:5" ht="15" thickBot="1" x14ac:dyDescent="0.4">
      <c r="A54" s="51" t="s">
        <v>6</v>
      </c>
      <c r="B54" s="53" t="s">
        <v>8</v>
      </c>
      <c r="C54" s="54"/>
      <c r="D54" s="13" t="s">
        <v>9</v>
      </c>
      <c r="E54" s="13" t="s">
        <v>10</v>
      </c>
    </row>
    <row r="55" spans="1:5" ht="15" thickBot="1" x14ac:dyDescent="0.4">
      <c r="A55" s="52"/>
      <c r="B55" s="4" t="s">
        <v>11</v>
      </c>
      <c r="C55" s="4" t="s">
        <v>12</v>
      </c>
      <c r="D55" s="4" t="s">
        <v>12</v>
      </c>
      <c r="E55" s="4" t="s">
        <v>12</v>
      </c>
    </row>
    <row r="56" spans="1:5" ht="15" thickBot="1" x14ac:dyDescent="0.4">
      <c r="A56" s="15" t="str">
        <f>A4</f>
        <v>Carlingue</v>
      </c>
      <c r="B56" s="11">
        <f>B47</f>
        <v>0.31</v>
      </c>
      <c r="C56" s="41">
        <f>B56*$C$59</f>
        <v>20666.666666666668</v>
      </c>
      <c r="D56" s="49">
        <f>B25</f>
        <v>30000</v>
      </c>
      <c r="E56" s="41">
        <f>D56-C56</f>
        <v>9333.3333333333321</v>
      </c>
    </row>
    <row r="57" spans="1:5" ht="15" thickBot="1" x14ac:dyDescent="0.4">
      <c r="A57" s="15" t="str">
        <f>A5</f>
        <v>Moteur</v>
      </c>
      <c r="B57" s="11">
        <f>C47</f>
        <v>0.16</v>
      </c>
      <c r="C57" s="41">
        <f>B57*$C$59</f>
        <v>10666.666666666668</v>
      </c>
      <c r="D57" s="49">
        <f>C25</f>
        <v>40000</v>
      </c>
      <c r="E57" s="41">
        <f>D57-C57</f>
        <v>29333.333333333332</v>
      </c>
    </row>
    <row r="58" spans="1:5" ht="15" thickBot="1" x14ac:dyDescent="0.4">
      <c r="A58" s="15" t="str">
        <f>A6</f>
        <v>Equipement électronique</v>
      </c>
      <c r="B58" s="11">
        <f>D47</f>
        <v>0.53</v>
      </c>
      <c r="C58" s="41">
        <f>B58*$C$59</f>
        <v>35333.333333333336</v>
      </c>
      <c r="D58" s="49">
        <f>D25</f>
        <v>10000</v>
      </c>
      <c r="E58" s="41">
        <f>D58-C58</f>
        <v>-25333.333333333336</v>
      </c>
    </row>
    <row r="59" spans="1:5" ht="15" thickBot="1" x14ac:dyDescent="0.4">
      <c r="A59" s="7" t="s">
        <v>7</v>
      </c>
      <c r="B59" s="12">
        <f>SUM(B56:B58)</f>
        <v>1</v>
      </c>
      <c r="C59" s="42">
        <f>G36</f>
        <v>66666.666666666672</v>
      </c>
      <c r="D59" s="50">
        <f>SUM(D56:D58)</f>
        <v>80000</v>
      </c>
      <c r="E59" s="42">
        <f>SUM(E56:E58)</f>
        <v>13333.333333333328</v>
      </c>
    </row>
    <row r="60" spans="1:5" x14ac:dyDescent="0.35">
      <c r="A60" s="16"/>
    </row>
    <row r="61" spans="1:5" x14ac:dyDescent="0.35">
      <c r="A61" s="1" t="s">
        <v>28</v>
      </c>
    </row>
    <row r="62" spans="1:5" x14ac:dyDescent="0.35">
      <c r="A62" s="2" t="s">
        <v>45</v>
      </c>
    </row>
    <row r="63" spans="1:5" x14ac:dyDescent="0.35">
      <c r="A63" t="s">
        <v>42</v>
      </c>
    </row>
    <row r="64" spans="1:5" x14ac:dyDescent="0.35">
      <c r="A64" t="s">
        <v>43</v>
      </c>
    </row>
  </sheetData>
  <mergeCells count="6">
    <mergeCell ref="A54:A55"/>
    <mergeCell ref="B54:C54"/>
    <mergeCell ref="A17:A18"/>
    <mergeCell ref="B17:D17"/>
    <mergeCell ref="B42:D42"/>
    <mergeCell ref="A42:A43"/>
  </mergeCells>
  <pageMargins left="0.70866141732283472" right="0.70866141732283472" top="0.74803149606299213" bottom="0.74803149606299213" header="0.31496062992125984" footer="0.31496062992125984"/>
  <pageSetup paperSize="9" scale="72" fitToHeight="2" orientation="portrait" verticalDpi="1200" r:id="rId1"/>
</worksheet>
</file>

<file path=docMetadata/LabelInfo.xml><?xml version="1.0" encoding="utf-8"?>
<clbl:labelList xmlns:clbl="http://schemas.microsoft.com/office/2020/mipLabelMetadata">
  <clbl:label id="{dffef3d7-143e-41ed-815d-9c383c48eb95}" enabled="0" method="" siteId="{dffef3d7-143e-41ed-815d-9c383c48eb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Sujet</vt:lpstr>
      <vt:lpstr>correction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LACOMBE Isabelle</dc:creator>
  <cp:lastModifiedBy>LACOMBE Isabelle</cp:lastModifiedBy>
  <cp:lastPrinted>2023-01-25T09:28:02Z</cp:lastPrinted>
  <dcterms:created xsi:type="dcterms:W3CDTF">2022-11-20T08:22:54Z</dcterms:created>
  <dcterms:modified xsi:type="dcterms:W3CDTF">2025-12-16T19:56:06Z</dcterms:modified>
</cp:coreProperties>
</file>