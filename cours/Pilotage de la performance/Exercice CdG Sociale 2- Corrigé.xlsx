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emnormandie1-my.sharepoint.com/personal/ilacombe_em-normandie_fr/Documents/Documents/4- COURS/MANAGER ET CONTROLER/24-25/"/>
    </mc:Choice>
  </mc:AlternateContent>
  <xr:revisionPtr revIDLastSave="0" documentId="11_6DE57FBE0656D77C9DE2804C9CEAC503ECEA26F4" xr6:coauthVersionLast="47" xr6:coauthVersionMax="47" xr10:uidLastSave="{00000000-0000-0000-0000-000000000000}"/>
  <bookViews>
    <workbookView xWindow="0" yWindow="670" windowWidth="19200" windowHeight="1013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1" l="1"/>
  <c r="C87" i="1" l="1"/>
  <c r="C94" i="1" l="1"/>
  <c r="F78" i="1" l="1"/>
  <c r="D78" i="1"/>
  <c r="B73" i="1"/>
  <c r="B69" i="1"/>
  <c r="C60" i="1" l="1"/>
  <c r="C61" i="1" s="1"/>
  <c r="C62" i="1" s="1"/>
  <c r="B60" i="1"/>
  <c r="B61" i="1" s="1"/>
  <c r="D59" i="1"/>
  <c r="D58" i="1"/>
  <c r="C50" i="1"/>
  <c r="B50" i="1"/>
  <c r="C49" i="1"/>
  <c r="B49" i="1"/>
  <c r="C42" i="1"/>
  <c r="B42" i="1"/>
  <c r="C41" i="1"/>
  <c r="B41" i="1"/>
  <c r="C36" i="1"/>
  <c r="C37" i="1" s="1"/>
  <c r="B36" i="1"/>
  <c r="B37" i="1" s="1"/>
  <c r="D35" i="1"/>
  <c r="D34" i="1"/>
  <c r="C29" i="1"/>
  <c r="C30" i="1" s="1"/>
  <c r="B29" i="1"/>
  <c r="B30" i="1" s="1"/>
  <c r="D28" i="1"/>
  <c r="D27" i="1"/>
  <c r="B62" i="1" l="1"/>
  <c r="D61" i="1"/>
  <c r="D62" i="1" s="1"/>
  <c r="B78" i="1" s="1"/>
  <c r="D50" i="1"/>
  <c r="B43" i="1"/>
  <c r="B44" i="1" s="1"/>
  <c r="B63" i="1" s="1"/>
  <c r="C48" i="1"/>
  <c r="C54" i="1" s="1"/>
  <c r="D49" i="1"/>
  <c r="B48" i="1"/>
  <c r="B54" i="1" s="1"/>
  <c r="C43" i="1"/>
  <c r="C44" i="1" s="1"/>
  <c r="C63" i="1" s="1"/>
  <c r="D36" i="1"/>
  <c r="D37" i="1" s="1"/>
  <c r="D29" i="1"/>
  <c r="D30" i="1" s="1"/>
  <c r="C82" i="1" s="1"/>
  <c r="D22" i="1"/>
  <c r="D42" i="1" s="1"/>
  <c r="D21" i="1"/>
  <c r="D41" i="1" s="1"/>
  <c r="D9" i="1"/>
  <c r="D8" i="1"/>
  <c r="B70" i="1" l="1"/>
  <c r="B74" i="1"/>
  <c r="B91" i="1" s="1"/>
  <c r="B51" i="1"/>
  <c r="B84" i="1" s="1"/>
  <c r="C51" i="1"/>
  <c r="B85" i="1"/>
  <c r="D48" i="1"/>
  <c r="D54" i="1" s="1"/>
  <c r="D43" i="1"/>
  <c r="D44" i="1" s="1"/>
  <c r="D63" i="1" s="1"/>
  <c r="B90" i="1" l="1"/>
  <c r="C89" i="1" s="1"/>
  <c r="H78" i="1"/>
  <c r="B79" i="1" s="1"/>
  <c r="B92" i="1" s="1"/>
  <c r="D51" i="1"/>
  <c r="C83" i="1"/>
  <c r="C86" i="1" s="1"/>
  <c r="C88" i="1" s="1"/>
  <c r="C95" i="1" l="1"/>
</calcChain>
</file>

<file path=xl/sharedStrings.xml><?xml version="1.0" encoding="utf-8"?>
<sst xmlns="http://schemas.openxmlformats.org/spreadsheetml/2006/main" count="101" uniqueCount="71">
  <si>
    <t>Analyse des effectifs et de la masse salariale (hors cotisations salariales)</t>
  </si>
  <si>
    <t>Voici les données de la société INOVIA</t>
  </si>
  <si>
    <t>Tableau 1- Masse salariale</t>
  </si>
  <si>
    <t>Masse Salariale N-1</t>
  </si>
  <si>
    <t>Masse Salariale N</t>
  </si>
  <si>
    <t>Non-cadres</t>
  </si>
  <si>
    <t>Cadres</t>
  </si>
  <si>
    <t>Total</t>
  </si>
  <si>
    <t>Questions :</t>
  </si>
  <si>
    <t>1) Calculez l'évolution de la masse salariale</t>
  </si>
  <si>
    <t>2) Calculez l'évolution des effectifs</t>
  </si>
  <si>
    <t>Tableau 2- Evolution des effectifs</t>
  </si>
  <si>
    <t>Effectif moyen N-1</t>
  </si>
  <si>
    <t>Effectif moyen N</t>
  </si>
  <si>
    <t>3) Calculez la rémunération moyenne et son évolution.</t>
  </si>
  <si>
    <t>4) Déterminez l'effet effectif</t>
  </si>
  <si>
    <t>5) Déterminez les effets de structure</t>
  </si>
  <si>
    <t>Effet en masse des mesures</t>
  </si>
  <si>
    <t>Taux de report de l'année N-1</t>
  </si>
  <si>
    <t>Taux de report sur l'année N+1</t>
  </si>
  <si>
    <t>Variation N - N-1</t>
  </si>
  <si>
    <t>% Variation = variation / masse salariale N-1</t>
  </si>
  <si>
    <t>% Variation = variation / effectif N-1</t>
  </si>
  <si>
    <t>Rémunération moyenne N</t>
  </si>
  <si>
    <t>% Variation = variation / rémunération moyenne N-1</t>
  </si>
  <si>
    <t>Rémunération moyenne N-1 = masse salariale / effectif moyen</t>
  </si>
  <si>
    <t>Rémunération moyenne N/N-1</t>
  </si>
  <si>
    <t>Effectif moyen N/N-1</t>
  </si>
  <si>
    <t>Masse salariale N/N-1</t>
  </si>
  <si>
    <t>Effet effectif = taux variation masse salariale - taux variation rémunération moyenne</t>
  </si>
  <si>
    <t>On peut aussi calculer l'effet effectif d'une autre façon :</t>
  </si>
  <si>
    <t>a) Masse Salariale N-1</t>
  </si>
  <si>
    <t>c) Effectif moyen N -1 / Effectif moyen N</t>
  </si>
  <si>
    <t>d) Masse salariale fictive N à structure et effectifs constants = c X b</t>
  </si>
  <si>
    <t>e) (Masse salariale fictive N (=d) / masse salariale N-1 (=a))-1</t>
  </si>
  <si>
    <t>Rappel variation de la rémunération moyenne</t>
  </si>
  <si>
    <t>5,09% - 3,71% =</t>
  </si>
  <si>
    <t>Primes d'ancienneté</t>
  </si>
  <si>
    <t>Somme des augmentations individuelles</t>
  </si>
  <si>
    <t>6) Evaluez l'effet Vieillissement</t>
  </si>
  <si>
    <t>7) Evaluez l'effet Glissement Technicité</t>
  </si>
  <si>
    <t>8) Calculez la Noria</t>
  </si>
  <si>
    <t>Mesures d'augmentation générales et catégorielles :</t>
  </si>
  <si>
    <t>Soit en masse</t>
  </si>
  <si>
    <t>Noria = variation de la masse salariale à structure et effectifs constants - (augmentation collective + report + GVT)</t>
  </si>
  <si>
    <t xml:space="preserve">Noria = </t>
  </si>
  <si>
    <t>+</t>
  </si>
  <si>
    <t>-  (</t>
  </si>
  <si>
    <t>)</t>
  </si>
  <si>
    <t>Conclusion / synthèse :</t>
  </si>
  <si>
    <t>La variation totale de la masse salariale :</t>
  </si>
  <si>
    <t>- effet effectif</t>
  </si>
  <si>
    <t>Non cadres</t>
  </si>
  <si>
    <t>= MS à activité et effectifs constants</t>
  </si>
  <si>
    <t>- Structure</t>
  </si>
  <si>
    <t>= MS à activité et effectifs et structure constants</t>
  </si>
  <si>
    <t>- Mesures individuelles</t>
  </si>
  <si>
    <t>Viellissement</t>
  </si>
  <si>
    <t>Glissement Technicité</t>
  </si>
  <si>
    <t>Noria</t>
  </si>
  <si>
    <t>- Augmentations collectives</t>
  </si>
  <si>
    <t>- Report de N-1</t>
  </si>
  <si>
    <t>=</t>
  </si>
  <si>
    <t>b) Masse salariale N</t>
  </si>
  <si>
    <t>Effet effectif = taux variation rémunération moyenne X (taux variation effectif moyen-1)</t>
  </si>
  <si>
    <t>= taux de variation des effectifs par rapport à N</t>
  </si>
  <si>
    <t>=&gt; on applique le taux de variation des effectifs sur la masse salariale N</t>
  </si>
  <si>
    <t>augmentation de la masse salariale à structure constante</t>
  </si>
  <si>
    <t>augmentation du niveau moyen de rémunération</t>
  </si>
  <si>
    <t>(par rapport à la masse salariale n-1)</t>
  </si>
  <si>
    <t>La prise en compte de l'évolution de la structure des effectifs est nécessairement opérée au niveau de la masse salariale de la société. Dans ce cas, à structure constante, la masse salariale progresse de 3,71% alors que compte tenu de l'évolution de la structure, elle augmente de 5,09% (augmentation du niveau moyen de rémunération). L'impact de la seule déformation structurelle est donc 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</si>
</sst>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0" fontId="0" fillId="0" borderId="1" xfId="2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1" xfId="2" applyNumberFormat="1" applyFont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center" vertical="center"/>
    </xf>
    <xf numFmtId="10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right" vertical="center"/>
    </xf>
    <xf numFmtId="9" fontId="2" fillId="0" borderId="0" xfId="0" applyNumberFormat="1" applyFont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 vertical="center" wrapText="1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9"/>
  <sheetViews>
    <sheetView tabSelected="1" topLeftCell="A53" zoomScaleNormal="100" workbookViewId="0">
      <selection activeCell="D61" sqref="D61"/>
    </sheetView>
  </sheetViews>
  <sheetFormatPr baseColWidth="10" defaultRowHeight="14.5" x14ac:dyDescent="0.35"/>
  <cols>
    <col min="1" max="1" width="35.08984375" style="4" customWidth="1"/>
    <col min="2" max="3" width="14.90625" style="12" bestFit="1" customWidth="1"/>
    <col min="4" max="4" width="16.81640625" style="12" customWidth="1"/>
    <col min="5" max="5" width="5.54296875" style="4" customWidth="1"/>
    <col min="6" max="6" width="9" style="4" customWidth="1"/>
    <col min="7" max="7" width="5.54296875" style="4" customWidth="1"/>
    <col min="8" max="8" width="8.54296875" style="4" customWidth="1"/>
    <col min="9" max="9" width="5.54296875" style="4" customWidth="1"/>
    <col min="10" max="16384" width="10.90625" style="4"/>
  </cols>
  <sheetData>
    <row r="1" spans="1:4" x14ac:dyDescent="0.35">
      <c r="A1" s="27" t="s">
        <v>0</v>
      </c>
    </row>
    <row r="3" spans="1:4" x14ac:dyDescent="0.35">
      <c r="A3" s="4" t="s">
        <v>1</v>
      </c>
    </row>
    <row r="5" spans="1:4" x14ac:dyDescent="0.35">
      <c r="A5" s="4" t="s">
        <v>2</v>
      </c>
    </row>
    <row r="7" spans="1:4" ht="20" customHeight="1" x14ac:dyDescent="0.35">
      <c r="A7" s="1"/>
      <c r="B7" s="2" t="s">
        <v>5</v>
      </c>
      <c r="C7" s="2" t="s">
        <v>6</v>
      </c>
      <c r="D7" s="3" t="s">
        <v>7</v>
      </c>
    </row>
    <row r="8" spans="1:4" ht="20" customHeight="1" x14ac:dyDescent="0.35">
      <c r="A8" s="1" t="s">
        <v>3</v>
      </c>
      <c r="B8" s="5">
        <v>17777710</v>
      </c>
      <c r="C8" s="5">
        <v>14361270</v>
      </c>
      <c r="D8" s="6">
        <f>SUM(B8:C8)</f>
        <v>32138980</v>
      </c>
    </row>
    <row r="9" spans="1:4" ht="20" customHeight="1" x14ac:dyDescent="0.35">
      <c r="A9" s="1" t="s">
        <v>4</v>
      </c>
      <c r="B9" s="5">
        <v>17989488</v>
      </c>
      <c r="C9" s="5">
        <v>15332544</v>
      </c>
      <c r="D9" s="6">
        <f>SUM(B9:C9)</f>
        <v>33322032</v>
      </c>
    </row>
    <row r="10" spans="1:4" x14ac:dyDescent="0.35">
      <c r="B10" s="7"/>
      <c r="C10" s="7"/>
      <c r="D10" s="8"/>
    </row>
    <row r="11" spans="1:4" x14ac:dyDescent="0.35">
      <c r="A11" s="4" t="s">
        <v>42</v>
      </c>
      <c r="B11" s="7"/>
      <c r="C11" s="7"/>
      <c r="D11" s="8"/>
    </row>
    <row r="12" spans="1:4" x14ac:dyDescent="0.35">
      <c r="A12" s="28" t="s">
        <v>17</v>
      </c>
      <c r="B12" s="26">
        <v>1.8100000000000002E-2</v>
      </c>
      <c r="C12" s="7"/>
      <c r="D12" s="8"/>
    </row>
    <row r="13" spans="1:4" x14ac:dyDescent="0.35">
      <c r="A13" s="28" t="s">
        <v>18</v>
      </c>
      <c r="B13" s="26">
        <v>1.34E-2</v>
      </c>
      <c r="C13" s="7"/>
      <c r="D13" s="8"/>
    </row>
    <row r="14" spans="1:4" x14ac:dyDescent="0.35">
      <c r="A14" s="28" t="s">
        <v>19</v>
      </c>
      <c r="B14" s="26">
        <v>3.6799999999999999E-2</v>
      </c>
      <c r="C14" s="7"/>
      <c r="D14" s="8"/>
    </row>
    <row r="15" spans="1:4" x14ac:dyDescent="0.35">
      <c r="A15" s="28"/>
      <c r="B15" s="26"/>
      <c r="C15" s="7"/>
      <c r="D15" s="8"/>
    </row>
    <row r="16" spans="1:4" x14ac:dyDescent="0.35">
      <c r="A16" s="28" t="s">
        <v>37</v>
      </c>
      <c r="B16" s="29">
        <v>218548</v>
      </c>
      <c r="C16" s="7"/>
      <c r="D16" s="8"/>
    </row>
    <row r="17" spans="1:4" ht="31" customHeight="1" x14ac:dyDescent="0.35">
      <c r="A17" s="28" t="s">
        <v>38</v>
      </c>
      <c r="B17" s="29">
        <v>147840</v>
      </c>
    </row>
    <row r="18" spans="1:4" ht="31" customHeight="1" x14ac:dyDescent="0.35">
      <c r="A18" s="28"/>
      <c r="B18" s="29"/>
    </row>
    <row r="19" spans="1:4" ht="31" customHeight="1" x14ac:dyDescent="0.35">
      <c r="A19" s="4" t="s">
        <v>11</v>
      </c>
    </row>
    <row r="20" spans="1:4" ht="31" customHeight="1" x14ac:dyDescent="0.35">
      <c r="A20" s="1"/>
      <c r="B20" s="2" t="s">
        <v>5</v>
      </c>
      <c r="C20" s="2" t="s">
        <v>6</v>
      </c>
      <c r="D20" s="3" t="s">
        <v>7</v>
      </c>
    </row>
    <row r="21" spans="1:4" ht="31" customHeight="1" x14ac:dyDescent="0.35">
      <c r="A21" s="1" t="s">
        <v>12</v>
      </c>
      <c r="B21" s="9">
        <v>169</v>
      </c>
      <c r="C21" s="9">
        <v>55</v>
      </c>
      <c r="D21" s="10">
        <f>SUM(B21:C21)</f>
        <v>224</v>
      </c>
    </row>
    <row r="22" spans="1:4" ht="31" customHeight="1" x14ac:dyDescent="0.35">
      <c r="A22" s="1" t="s">
        <v>13</v>
      </c>
      <c r="B22" s="9">
        <v>164</v>
      </c>
      <c r="C22" s="9">
        <v>57</v>
      </c>
      <c r="D22" s="10">
        <f>SUM(B22:C22)</f>
        <v>221</v>
      </c>
    </row>
    <row r="23" spans="1:4" ht="31" customHeight="1" x14ac:dyDescent="0.35">
      <c r="B23" s="7"/>
      <c r="C23" s="7"/>
      <c r="D23" s="8"/>
    </row>
    <row r="24" spans="1:4" ht="31" customHeight="1" x14ac:dyDescent="0.35">
      <c r="A24" s="11" t="s">
        <v>8</v>
      </c>
    </row>
    <row r="25" spans="1:4" ht="31" customHeight="1" x14ac:dyDescent="0.35">
      <c r="A25" s="4" t="s">
        <v>9</v>
      </c>
    </row>
    <row r="26" spans="1:4" ht="31" customHeight="1" x14ac:dyDescent="0.35">
      <c r="A26" s="1"/>
      <c r="B26" s="2" t="s">
        <v>5</v>
      </c>
      <c r="C26" s="2" t="s">
        <v>6</v>
      </c>
      <c r="D26" s="3" t="s">
        <v>7</v>
      </c>
    </row>
    <row r="27" spans="1:4" ht="31" customHeight="1" x14ac:dyDescent="0.35">
      <c r="A27" s="1" t="s">
        <v>3</v>
      </c>
      <c r="B27" s="5">
        <v>17777710</v>
      </c>
      <c r="C27" s="5">
        <v>14361270</v>
      </c>
      <c r="D27" s="6">
        <f>SUM(B27:C27)</f>
        <v>32138980</v>
      </c>
    </row>
    <row r="28" spans="1:4" ht="31" customHeight="1" x14ac:dyDescent="0.35">
      <c r="A28" s="1" t="s">
        <v>4</v>
      </c>
      <c r="B28" s="5">
        <v>17989488</v>
      </c>
      <c r="C28" s="5">
        <v>15332544</v>
      </c>
      <c r="D28" s="6">
        <f>SUM(B28:C28)</f>
        <v>33322032</v>
      </c>
    </row>
    <row r="29" spans="1:4" ht="31" customHeight="1" x14ac:dyDescent="0.35">
      <c r="A29" s="1" t="s">
        <v>20</v>
      </c>
      <c r="B29" s="15">
        <f>B28-B27</f>
        <v>211778</v>
      </c>
      <c r="C29" s="15">
        <f>C28-C27</f>
        <v>971274</v>
      </c>
      <c r="D29" s="18">
        <f>D28-D27</f>
        <v>1183052</v>
      </c>
    </row>
    <row r="30" spans="1:4" ht="31" customHeight="1" x14ac:dyDescent="0.35">
      <c r="A30" s="16" t="s">
        <v>21</v>
      </c>
      <c r="B30" s="17">
        <f>B29/B27</f>
        <v>1.1912557916627058E-2</v>
      </c>
      <c r="C30" s="17">
        <f>C29/C27</f>
        <v>6.7631483845091697E-2</v>
      </c>
      <c r="D30" s="19">
        <f>D29/D27</f>
        <v>3.6810502386821237E-2</v>
      </c>
    </row>
    <row r="31" spans="1:4" ht="20" customHeight="1" x14ac:dyDescent="0.35"/>
    <row r="32" spans="1:4" ht="20" customHeight="1" x14ac:dyDescent="0.35">
      <c r="A32" s="4" t="s">
        <v>10</v>
      </c>
    </row>
    <row r="33" spans="1:4" ht="20" customHeight="1" x14ac:dyDescent="0.35">
      <c r="A33" s="1"/>
      <c r="B33" s="2" t="s">
        <v>5</v>
      </c>
      <c r="C33" s="2" t="s">
        <v>6</v>
      </c>
      <c r="D33" s="3" t="s">
        <v>7</v>
      </c>
    </row>
    <row r="34" spans="1:4" ht="41" customHeight="1" x14ac:dyDescent="0.35">
      <c r="A34" s="1" t="s">
        <v>12</v>
      </c>
      <c r="B34" s="9">
        <v>169</v>
      </c>
      <c r="C34" s="9">
        <v>55</v>
      </c>
      <c r="D34" s="10">
        <f>SUM(B34:C34)</f>
        <v>224</v>
      </c>
    </row>
    <row r="35" spans="1:4" x14ac:dyDescent="0.35">
      <c r="A35" s="1" t="s">
        <v>13</v>
      </c>
      <c r="B35" s="9">
        <v>164</v>
      </c>
      <c r="C35" s="9">
        <v>57</v>
      </c>
      <c r="D35" s="10">
        <f>SUM(B35:C35)</f>
        <v>221</v>
      </c>
    </row>
    <row r="36" spans="1:4" x14ac:dyDescent="0.35">
      <c r="A36" s="1" t="s">
        <v>20</v>
      </c>
      <c r="B36" s="2">
        <f>B35-B34</f>
        <v>-5</v>
      </c>
      <c r="C36" s="2">
        <f>C35-C34</f>
        <v>2</v>
      </c>
      <c r="D36" s="3">
        <f>D35-D34</f>
        <v>-3</v>
      </c>
    </row>
    <row r="37" spans="1:4" x14ac:dyDescent="0.35">
      <c r="A37" s="16" t="s">
        <v>22</v>
      </c>
      <c r="B37" s="17">
        <f>B36/B34</f>
        <v>-2.9585798816568046E-2</v>
      </c>
      <c r="C37" s="17">
        <f>C36/C34</f>
        <v>3.6363636363636362E-2</v>
      </c>
      <c r="D37" s="19">
        <f>D36/D34</f>
        <v>-1.3392857142857142E-2</v>
      </c>
    </row>
    <row r="39" spans="1:4" x14ac:dyDescent="0.35">
      <c r="A39" s="4" t="s">
        <v>14</v>
      </c>
    </row>
    <row r="40" spans="1:4" x14ac:dyDescent="0.35">
      <c r="A40" s="1"/>
      <c r="B40" s="2" t="s">
        <v>5</v>
      </c>
      <c r="C40" s="2" t="s">
        <v>6</v>
      </c>
      <c r="D40" s="3" t="s">
        <v>7</v>
      </c>
    </row>
    <row r="41" spans="1:4" ht="29" x14ac:dyDescent="0.35">
      <c r="A41" s="16" t="s">
        <v>25</v>
      </c>
      <c r="B41" s="5">
        <f t="shared" ref="B41:D42" si="0">B27/B21</f>
        <v>105193.55029585799</v>
      </c>
      <c r="C41" s="5">
        <f t="shared" si="0"/>
        <v>261114</v>
      </c>
      <c r="D41" s="6">
        <f t="shared" si="0"/>
        <v>143477.58928571429</v>
      </c>
    </row>
    <row r="42" spans="1:4" x14ac:dyDescent="0.35">
      <c r="A42" s="16" t="s">
        <v>23</v>
      </c>
      <c r="B42" s="5">
        <f t="shared" si="0"/>
        <v>109692</v>
      </c>
      <c r="C42" s="5">
        <f t="shared" si="0"/>
        <v>268992</v>
      </c>
      <c r="D42" s="6">
        <f t="shared" si="0"/>
        <v>150778.42533936651</v>
      </c>
    </row>
    <row r="43" spans="1:4" x14ac:dyDescent="0.35">
      <c r="A43" s="1" t="s">
        <v>20</v>
      </c>
      <c r="B43" s="5">
        <f>B42-B41</f>
        <v>4498.4497041420109</v>
      </c>
      <c r="C43" s="5">
        <f>C42-C41</f>
        <v>7878</v>
      </c>
      <c r="D43" s="6">
        <f>D42-D41</f>
        <v>7300.8360536522232</v>
      </c>
    </row>
    <row r="44" spans="1:4" ht="29" x14ac:dyDescent="0.35">
      <c r="A44" s="16" t="s">
        <v>24</v>
      </c>
      <c r="B44" s="17">
        <f>B43/B41</f>
        <v>4.2763550536036407E-2</v>
      </c>
      <c r="C44" s="17">
        <f>C43/C41</f>
        <v>3.017073002596567E-2</v>
      </c>
      <c r="D44" s="19">
        <f>D43/D41</f>
        <v>5.0884853097954506E-2</v>
      </c>
    </row>
    <row r="46" spans="1:4" x14ac:dyDescent="0.35">
      <c r="A46" s="4" t="s">
        <v>15</v>
      </c>
    </row>
    <row r="47" spans="1:4" x14ac:dyDescent="0.35">
      <c r="A47" s="1"/>
      <c r="B47" s="2" t="s">
        <v>5</v>
      </c>
      <c r="C47" s="2" t="s">
        <v>6</v>
      </c>
      <c r="D47" s="3" t="s">
        <v>7</v>
      </c>
    </row>
    <row r="48" spans="1:4" x14ac:dyDescent="0.35">
      <c r="A48" s="16" t="s">
        <v>26</v>
      </c>
      <c r="B48" s="17">
        <f>(B42/B41)</f>
        <v>1.0427635505360364</v>
      </c>
      <c r="C48" s="17">
        <f>(C42/C41)</f>
        <v>1.0301707300259657</v>
      </c>
      <c r="D48" s="19">
        <f>(D42/D41)</f>
        <v>1.0508848530979544</v>
      </c>
    </row>
    <row r="49" spans="1:6" x14ac:dyDescent="0.35">
      <c r="A49" s="16" t="s">
        <v>27</v>
      </c>
      <c r="B49" s="17">
        <f>B35/B34</f>
        <v>0.97041420118343191</v>
      </c>
      <c r="C49" s="17">
        <f>C35/C34</f>
        <v>1.0363636363636364</v>
      </c>
      <c r="D49" s="19">
        <f>D35/D34</f>
        <v>0.9866071428571429</v>
      </c>
    </row>
    <row r="50" spans="1:6" x14ac:dyDescent="0.35">
      <c r="A50" s="16" t="s">
        <v>28</v>
      </c>
      <c r="B50" s="17">
        <f>B28/B27</f>
        <v>1.011912557916627</v>
      </c>
      <c r="C50" s="17">
        <f>C28/C27</f>
        <v>1.0676314838450918</v>
      </c>
      <c r="D50" s="19">
        <f>D28/D27</f>
        <v>1.0368105023868213</v>
      </c>
    </row>
    <row r="51" spans="1:6" ht="43.5" x14ac:dyDescent="0.35">
      <c r="A51" s="16" t="s">
        <v>29</v>
      </c>
      <c r="B51" s="17">
        <f>B50-B48</f>
        <v>-3.0850992619409379E-2</v>
      </c>
      <c r="C51" s="17">
        <f>C50-C48</f>
        <v>3.7460753819126058E-2</v>
      </c>
      <c r="D51" s="19">
        <f>D50-D48</f>
        <v>-1.4074350711133166E-2</v>
      </c>
    </row>
    <row r="52" spans="1:6" x14ac:dyDescent="0.35">
      <c r="A52" s="20"/>
    </row>
    <row r="53" spans="1:6" x14ac:dyDescent="0.35">
      <c r="A53" s="4" t="s">
        <v>30</v>
      </c>
    </row>
    <row r="54" spans="1:6" ht="43.5" x14ac:dyDescent="0.35">
      <c r="A54" s="16" t="s">
        <v>64</v>
      </c>
      <c r="B54" s="17">
        <f>(B48)*(B49-1)</f>
        <v>-3.0850992619409403E-2</v>
      </c>
      <c r="C54" s="17">
        <f>(C48)*(C49-1)</f>
        <v>3.7460753819126037E-2</v>
      </c>
      <c r="D54" s="19">
        <f>(D48)*(D49-1)</f>
        <v>-1.4074350711133268E-2</v>
      </c>
    </row>
    <row r="55" spans="1:6" x14ac:dyDescent="0.35">
      <c r="A55" s="20"/>
    </row>
    <row r="56" spans="1:6" x14ac:dyDescent="0.35">
      <c r="A56" s="4" t="s">
        <v>16</v>
      </c>
    </row>
    <row r="57" spans="1:6" x14ac:dyDescent="0.35">
      <c r="A57" s="1"/>
      <c r="B57" s="2" t="s">
        <v>5</v>
      </c>
      <c r="C57" s="2" t="s">
        <v>6</v>
      </c>
      <c r="D57" s="3" t="s">
        <v>7</v>
      </c>
    </row>
    <row r="58" spans="1:6" ht="28" customHeight="1" x14ac:dyDescent="0.35">
      <c r="A58" s="1" t="s">
        <v>31</v>
      </c>
      <c r="B58" s="5">
        <v>17777710</v>
      </c>
      <c r="C58" s="5">
        <v>14361270</v>
      </c>
      <c r="D58" s="6">
        <f>SUM(B58:C58)</f>
        <v>32138980</v>
      </c>
    </row>
    <row r="59" spans="1:6" ht="21" customHeight="1" x14ac:dyDescent="0.35">
      <c r="A59" s="1" t="s">
        <v>63</v>
      </c>
      <c r="B59" s="5">
        <v>17989488</v>
      </c>
      <c r="C59" s="5">
        <v>15332544</v>
      </c>
      <c r="D59" s="6">
        <f>SUM(B59:C59)</f>
        <v>33322032</v>
      </c>
    </row>
    <row r="60" spans="1:6" ht="23" customHeight="1" x14ac:dyDescent="0.35">
      <c r="A60" s="16" t="s">
        <v>32</v>
      </c>
      <c r="B60" s="21">
        <f>B21/B22</f>
        <v>1.0304878048780488</v>
      </c>
      <c r="C60" s="21">
        <f>C21/C22</f>
        <v>0.96491228070175439</v>
      </c>
      <c r="D60" s="22"/>
      <c r="F60" s="40" t="s">
        <v>65</v>
      </c>
    </row>
    <row r="61" spans="1:6" ht="29" x14ac:dyDescent="0.35">
      <c r="A61" s="16" t="s">
        <v>33</v>
      </c>
      <c r="B61" s="5">
        <f>B60*B59</f>
        <v>18537948</v>
      </c>
      <c r="C61" s="5">
        <f>C60*C59</f>
        <v>14794560</v>
      </c>
      <c r="D61" s="6">
        <f>SUM(B61:C61)</f>
        <v>33332508</v>
      </c>
      <c r="F61" s="40" t="s">
        <v>66</v>
      </c>
    </row>
    <row r="62" spans="1:6" ht="29" x14ac:dyDescent="0.35">
      <c r="A62" s="16" t="s">
        <v>34</v>
      </c>
      <c r="B62" s="17">
        <f>(B61/B58)-1</f>
        <v>4.2763550536036421E-2</v>
      </c>
      <c r="C62" s="17">
        <f>(C61/C58)-1</f>
        <v>3.0170730025965709E-2</v>
      </c>
      <c r="D62" s="19">
        <f>(D61/D58)-1</f>
        <v>3.7136461704758483E-2</v>
      </c>
      <c r="F62" s="4" t="s">
        <v>67</v>
      </c>
    </row>
    <row r="63" spans="1:6" ht="29" x14ac:dyDescent="0.35">
      <c r="A63" s="16" t="s">
        <v>35</v>
      </c>
      <c r="B63" s="23">
        <f>B44</f>
        <v>4.2763550536036407E-2</v>
      </c>
      <c r="C63" s="23">
        <f>C44</f>
        <v>3.017073002596567E-2</v>
      </c>
      <c r="D63" s="24">
        <f>D44</f>
        <v>5.0884853097954506E-2</v>
      </c>
      <c r="F63" s="4" t="s">
        <v>68</v>
      </c>
    </row>
    <row r="64" spans="1:6" x14ac:dyDescent="0.35">
      <c r="A64" s="20"/>
    </row>
    <row r="65" spans="1:9" ht="85.5" customHeight="1" x14ac:dyDescent="0.35">
      <c r="A65" s="41" t="s">
        <v>70</v>
      </c>
      <c r="B65" s="41"/>
      <c r="C65" s="41"/>
      <c r="D65" s="41"/>
    </row>
    <row r="66" spans="1:9" x14ac:dyDescent="0.35">
      <c r="A66" s="25" t="s">
        <v>36</v>
      </c>
      <c r="B66" s="26">
        <v>1.38E-2</v>
      </c>
    </row>
    <row r="68" spans="1:9" x14ac:dyDescent="0.35">
      <c r="A68" s="4" t="s">
        <v>39</v>
      </c>
    </row>
    <row r="69" spans="1:9" x14ac:dyDescent="0.35">
      <c r="A69" s="4" t="s">
        <v>37</v>
      </c>
      <c r="B69" s="13">
        <f>B16</f>
        <v>218548</v>
      </c>
    </row>
    <row r="70" spans="1:9" x14ac:dyDescent="0.35">
      <c r="A70" s="4" t="s">
        <v>43</v>
      </c>
      <c r="B70" s="14">
        <f>B69/D8</f>
        <v>6.8000913532414529E-3</v>
      </c>
      <c r="C70" s="28" t="s">
        <v>69</v>
      </c>
    </row>
    <row r="72" spans="1:9" x14ac:dyDescent="0.35">
      <c r="A72" s="4" t="s">
        <v>40</v>
      </c>
      <c r="D72" s="31"/>
    </row>
    <row r="73" spans="1:9" x14ac:dyDescent="0.35">
      <c r="A73" s="4" t="s">
        <v>38</v>
      </c>
      <c r="B73" s="13">
        <f>B17</f>
        <v>147840</v>
      </c>
    </row>
    <row r="74" spans="1:9" x14ac:dyDescent="0.35">
      <c r="A74" s="4" t="s">
        <v>43</v>
      </c>
      <c r="B74" s="14">
        <f>B73/D8</f>
        <v>4.6000215314860645E-3</v>
      </c>
      <c r="C74" s="28" t="s">
        <v>69</v>
      </c>
    </row>
    <row r="76" spans="1:9" x14ac:dyDescent="0.35">
      <c r="A76" s="4" t="s">
        <v>41</v>
      </c>
    </row>
    <row r="77" spans="1:9" x14ac:dyDescent="0.35">
      <c r="A77" s="4" t="s">
        <v>44</v>
      </c>
    </row>
    <row r="78" spans="1:9" x14ac:dyDescent="0.35">
      <c r="A78" s="30" t="s">
        <v>45</v>
      </c>
      <c r="B78" s="26">
        <f>D62</f>
        <v>3.7136461704758483E-2</v>
      </c>
      <c r="C78" s="31" t="s">
        <v>47</v>
      </c>
      <c r="D78" s="26">
        <f>B12</f>
        <v>1.8100000000000002E-2</v>
      </c>
      <c r="E78" s="31" t="s">
        <v>46</v>
      </c>
      <c r="F78" s="32">
        <f>B13</f>
        <v>1.34E-2</v>
      </c>
      <c r="G78" s="31" t="s">
        <v>46</v>
      </c>
      <c r="H78" s="32">
        <f>B70+B74</f>
        <v>1.1400112884727517E-2</v>
      </c>
      <c r="I78" s="4" t="s">
        <v>48</v>
      </c>
    </row>
    <row r="79" spans="1:9" x14ac:dyDescent="0.35">
      <c r="B79" s="26">
        <f>B78-(D78+F78+H78)</f>
        <v>-5.7636511799690343E-3</v>
      </c>
    </row>
    <row r="81" spans="1:3" ht="21" customHeight="1" x14ac:dyDescent="0.35">
      <c r="A81" s="4" t="s">
        <v>49</v>
      </c>
    </row>
    <row r="82" spans="1:3" ht="21" customHeight="1" x14ac:dyDescent="0.35">
      <c r="A82" s="33" t="s">
        <v>50</v>
      </c>
      <c r="C82" s="34">
        <f>D30</f>
        <v>3.6810502386821237E-2</v>
      </c>
    </row>
    <row r="83" spans="1:3" ht="21" customHeight="1" x14ac:dyDescent="0.35">
      <c r="A83" s="35" t="s">
        <v>51</v>
      </c>
      <c r="C83" s="34">
        <f>D54</f>
        <v>-1.4074350711133268E-2</v>
      </c>
    </row>
    <row r="84" spans="1:3" ht="21" customHeight="1" x14ac:dyDescent="0.35">
      <c r="A84" s="36" t="s">
        <v>52</v>
      </c>
      <c r="B84" s="26">
        <f>B51</f>
        <v>-3.0850992619409379E-2</v>
      </c>
    </row>
    <row r="85" spans="1:3" ht="21" customHeight="1" x14ac:dyDescent="0.35">
      <c r="A85" s="36" t="s">
        <v>6</v>
      </c>
      <c r="B85" s="26">
        <f>C54</f>
        <v>3.7460753819126037E-2</v>
      </c>
    </row>
    <row r="86" spans="1:3" ht="21" customHeight="1" x14ac:dyDescent="0.35">
      <c r="A86" s="35" t="s">
        <v>53</v>
      </c>
      <c r="C86" s="34">
        <f>C82-C83</f>
        <v>5.0884853097954506E-2</v>
      </c>
    </row>
    <row r="87" spans="1:3" ht="21" customHeight="1" x14ac:dyDescent="0.35">
      <c r="A87" s="35" t="s">
        <v>54</v>
      </c>
      <c r="B87" s="37"/>
      <c r="C87" s="34">
        <f>B66</f>
        <v>1.38E-2</v>
      </c>
    </row>
    <row r="88" spans="1:3" ht="21" customHeight="1" x14ac:dyDescent="0.35">
      <c r="A88" s="35" t="s">
        <v>55</v>
      </c>
      <c r="C88" s="34">
        <f>C86-C87</f>
        <v>3.7084853097954507E-2</v>
      </c>
    </row>
    <row r="89" spans="1:3" ht="21" customHeight="1" x14ac:dyDescent="0.35">
      <c r="A89" s="35" t="s">
        <v>56</v>
      </c>
      <c r="C89" s="34">
        <f>SUM(B90:B92)</f>
        <v>5.6364617047584831E-3</v>
      </c>
    </row>
    <row r="90" spans="1:3" ht="21" customHeight="1" x14ac:dyDescent="0.35">
      <c r="A90" s="36" t="s">
        <v>57</v>
      </c>
      <c r="B90" s="26">
        <f>B70</f>
        <v>6.8000913532414529E-3</v>
      </c>
    </row>
    <row r="91" spans="1:3" ht="21" customHeight="1" x14ac:dyDescent="0.35">
      <c r="A91" s="36" t="s">
        <v>58</v>
      </c>
      <c r="B91" s="26">
        <f>B74</f>
        <v>4.6000215314860645E-3</v>
      </c>
    </row>
    <row r="92" spans="1:3" ht="21" customHeight="1" x14ac:dyDescent="0.35">
      <c r="A92" s="36" t="s">
        <v>59</v>
      </c>
      <c r="B92" s="26">
        <f>B79</f>
        <v>-5.7636511799690343E-3</v>
      </c>
    </row>
    <row r="93" spans="1:3" ht="21" customHeight="1" x14ac:dyDescent="0.35">
      <c r="A93" s="35" t="s">
        <v>60</v>
      </c>
      <c r="C93" s="34">
        <f>B12</f>
        <v>1.8100000000000002E-2</v>
      </c>
    </row>
    <row r="94" spans="1:3" ht="21" customHeight="1" x14ac:dyDescent="0.35">
      <c r="A94" s="35" t="s">
        <v>61</v>
      </c>
      <c r="C94" s="34">
        <f>B13</f>
        <v>1.34E-2</v>
      </c>
    </row>
    <row r="95" spans="1:3" ht="21" customHeight="1" x14ac:dyDescent="0.35">
      <c r="A95" s="38" t="s">
        <v>62</v>
      </c>
      <c r="C95" s="39">
        <f>C88-C89-C93-C94</f>
        <v>-5.1608606803978455E-5</v>
      </c>
    </row>
    <row r="96" spans="1:3" ht="21" customHeight="1" x14ac:dyDescent="0.35"/>
    <row r="97" ht="21" customHeight="1" x14ac:dyDescent="0.35"/>
    <row r="98" ht="21" customHeight="1" x14ac:dyDescent="0.35"/>
    <row r="99" ht="21" customHeight="1" x14ac:dyDescent="0.35"/>
  </sheetData>
  <mergeCells count="1">
    <mergeCell ref="A65:D65"/>
  </mergeCells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rowBreaks count="2" manualBreakCount="2">
    <brk id="31" max="16383" man="1"/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Ecole de Management de Normandie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LACOMBE Isabelle</dc:creator>
  <cp:lastModifiedBy>LACOMBE Isabelle</cp:lastModifiedBy>
  <dcterms:created xsi:type="dcterms:W3CDTF">2019-02-19T14:09:09Z</dcterms:created>
  <dcterms:modified xsi:type="dcterms:W3CDTF">2024-10-25T09:40:54Z</dcterms:modified>
</cp:coreProperties>
</file>